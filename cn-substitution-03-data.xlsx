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1ac14604208d4930/桌面/投资-claude/"/>
    </mc:Choice>
  </mc:AlternateContent>
  <xr:revisionPtr revIDLastSave="1" documentId="11_AADF1F3D5EF07104452B44CE84A7F1FB187E2E1E" xr6:coauthVersionLast="47" xr6:coauthVersionMax="47" xr10:uidLastSave="{80DA9736-D975-4BDE-9618-B8C9242EFFCE}"/>
  <bookViews>
    <workbookView xWindow="9105" yWindow="1635" windowWidth="28800" windowHeight="15345" tabRatio="500" activeTab="1" xr2:uid="{00000000-000D-0000-FFFF-FFFF00000000}"/>
  </bookViews>
  <sheets>
    <sheet name="说明与方法" sheetId="1" r:id="rId1"/>
    <sheet name="环节量化" sheetId="2" r:id="rId2"/>
    <sheet name="公司量化" sheetId="3" r:id="rId3"/>
    <sheet name="下游价值链与利润池" sheetId="4" r:id="rId4"/>
  </sheets>
  <definedNames>
    <definedName name="_xlnm._FilterDatabase" localSheetId="2" hidden="1">公司量化!$A$1:$K$50</definedName>
    <definedName name="_xlnm._FilterDatabase" localSheetId="1" hidden="1">环节量化!$A$1:$I$30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5" i="4" l="1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C30" i="2"/>
  <c r="H38" i="3"/>
  <c r="H22" i="3"/>
  <c r="H19" i="3"/>
  <c r="H16" i="3"/>
  <c r="H12" i="3"/>
  <c r="H9" i="3"/>
  <c r="H8" i="3"/>
  <c r="H6" i="3"/>
  <c r="H3" i="3"/>
  <c r="H2" i="3"/>
  <c r="D28" i="2" l="1"/>
  <c r="D27" i="2"/>
  <c r="D25" i="2"/>
  <c r="D24" i="2"/>
  <c r="D20" i="2"/>
  <c r="D19" i="2"/>
  <c r="D18" i="2"/>
  <c r="D16" i="2"/>
  <c r="D15" i="2"/>
  <c r="D13" i="2"/>
  <c r="D12" i="2"/>
  <c r="D11" i="2"/>
  <c r="D9" i="2"/>
  <c r="D8" i="2"/>
  <c r="D7" i="2"/>
  <c r="D5" i="2"/>
  <c r="D4" i="2"/>
  <c r="D2" i="2"/>
  <c r="D21" i="2"/>
  <c r="D17" i="2"/>
  <c r="D14" i="2"/>
  <c r="D10" i="2"/>
  <c r="D6" i="2"/>
  <c r="D3" i="2"/>
</calcChain>
</file>

<file path=xl/sharedStrings.xml><?xml version="1.0" encoding="utf-8"?>
<sst xmlns="http://schemas.openxmlformats.org/spreadsheetml/2006/main" count="871" uniqueCount="453">
  <si>
    <t>国产替代 · 差距量化与突围地图 — 数据表</t>
  </si>
  <si>
    <t>生成日期</t>
  </si>
  <si>
    <t>2026-08-10</t>
  </si>
  <si>
    <t>数据基准</t>
  </si>
  <si>
    <t>市场规模主要为 2025 年；份额数据多为 2026Q1；公司营收为 2025 年报或 2026H1</t>
  </si>
  <si>
    <t>汇率假设 (CNY per USD)</t>
  </si>
  <si>
    <t>免责声明</t>
  </si>
  <si>
    <t>本表不是投资建议，编制者不是投资顾问。数据来自公开行业报告与公司公告，口径不统一。</t>
  </si>
  <si>
    <t>凡未核实到公开数据的单元格一律留空并标注「未核实」，不做推算填充。</t>
  </si>
  <si>
    <t>评级方法</t>
  </si>
  <si>
    <t>已突围</t>
  </si>
  <si>
    <t>全球份额 ≥10%，或国内份额 ≥50% 且产品达国际主流水平</t>
  </si>
  <si>
    <t>接近突围</t>
  </si>
  <si>
    <t>国内份额 30–50%，成熟制程已替代但先进制程未破</t>
  </si>
  <si>
    <t>追赶中</t>
  </si>
  <si>
    <t>国内份额 10–30%，处于验证或小批量阶段</t>
  </si>
  <si>
    <t>被卡死</t>
  </si>
  <si>
    <t>国内份额 &lt;10%，存在明确代差且无量产替代方案</t>
  </si>
  <si>
    <t>数据置信度</t>
  </si>
  <si>
    <t>已核实</t>
  </si>
  <si>
    <t>来自公司年报、交易所公告或主流财经媒体明确报道</t>
  </si>
  <si>
    <t>行业估算</t>
  </si>
  <si>
    <t>来自行业研究报告，口径可能不一致</t>
  </si>
  <si>
    <t>未核实</t>
  </si>
  <si>
    <t>本次检索未找到可靠公开数据，留空不填</t>
  </si>
  <si>
    <t>已知局限</t>
  </si>
  <si>
    <t>1</t>
  </si>
  <si>
    <t>国产化率口径差异极大：设备整体从 35%（券商）到 &gt;50%（工信部）都有，本表标注区间</t>
  </si>
  <si>
    <t>2</t>
  </si>
  <si>
    <t>市场规模多为 2025 年数据，而 2026 年存储处于 AI 超级周期，用 2025 分母会低估存储权重</t>
  </si>
  <si>
    <t>3</t>
  </si>
  <si>
    <t>含非半导体业务的公司（精测电子、TCL中环、立讯精密、工业富联）份额会被高估，已在备注标出</t>
  </si>
  <si>
    <t>4</t>
  </si>
  <si>
    <t>份额有出货量与销售额两种口径，结论可能相反（2025 英伟达在华出货量 55%，2026Q1 销售额仅 15–20%）</t>
  </si>
  <si>
    <t>主要来源</t>
  </si>
  <si>
    <r>
      <rPr>
        <sz val="10"/>
        <rFont val="Arial"/>
        <charset val="1"/>
      </rPr>
      <t>SEMI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>TrendForce/CFM</t>
    </r>
    <r>
      <rPr>
        <sz val="10"/>
        <rFont val="Noto Sans CJK SC"/>
        <family val="2"/>
      </rPr>
      <t>闪存市场、</t>
    </r>
    <r>
      <rPr>
        <sz val="10"/>
        <rFont val="Arial"/>
        <charset val="1"/>
      </rPr>
      <t>Bernstein Research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>Yole</t>
    </r>
    <r>
      <rPr>
        <sz val="10"/>
        <rFont val="Noto Sans CJK SC"/>
        <family val="2"/>
      </rPr>
      <t>、集微咨询、前瞻产业研究院，</t>
    </r>
  </si>
  <si>
    <t>及中芯国际/北方华创/中微公司/盛美上海/寒武纪/中际旭创等公司年报与上交所披露（2026年8月检索）</t>
  </si>
  <si>
    <r>
      <rPr>
        <b/>
        <sz val="10"/>
        <rFont val="Arial"/>
        <charset val="1"/>
      </rPr>
      <t xml:space="preserve">2026-08 </t>
    </r>
    <r>
      <rPr>
        <b/>
        <sz val="10"/>
        <rFont val="Noto Sans CJK SC"/>
        <family val="2"/>
      </rPr>
      <t>更新</t>
    </r>
  </si>
  <si>
    <r>
      <rPr>
        <sz val="10"/>
        <rFont val="Noto Sans CJK SC"/>
        <family val="2"/>
      </rPr>
      <t xml:space="preserve">新增「下游价值链与利润池」工作表：全球与中国两套价值链各 </t>
    </r>
    <r>
      <rPr>
        <sz val="10"/>
        <rFont val="Arial"/>
        <charset val="1"/>
      </rPr>
      <t xml:space="preserve">12 </t>
    </r>
    <r>
      <rPr>
        <sz val="10"/>
        <rFont val="Noto Sans CJK SC"/>
        <family val="2"/>
      </rPr>
      <t>层，含市场规模、利润率、利润池与生态位分类。</t>
    </r>
  </si>
  <si>
    <t>环节</t>
  </si>
  <si>
    <t>评级</t>
  </si>
  <si>
    <t>全球市场规模(亿美元)</t>
  </si>
  <si>
    <t>占可量化环节合计比重</t>
  </si>
  <si>
    <t>国产化率(%)</t>
  </si>
  <si>
    <t>国产化率原始表述</t>
  </si>
  <si>
    <t>技术差距指数(0-100)</t>
  </si>
  <si>
    <t>差距说明</t>
  </si>
  <si>
    <t>代表公司</t>
  </si>
  <si>
    <t>光刻机</t>
  </si>
  <si>
    <t>个位数（&lt;5%）</t>
  </si>
  <si>
    <t>差距最大的一格。SMEE SSA800 28nm 浸没式 DUV 已于 2026 年初交付中芯国际上机测试，测试良率超 90%、国产化率超 85%，可支持 7nm 多重曝光。但产能 10 片/小时 vs ASML 170 片/小时，EUV 无产品。业界估计代差约 8 年。</t>
  </si>
  <si>
    <t>上海微电子（未上市）</t>
  </si>
  <si>
    <t>薄膜沉积 CVD/PVD/ALD</t>
  </si>
  <si>
    <r>
      <rPr>
        <sz val="10"/>
        <rFont val="Arial"/>
        <charset val="1"/>
      </rPr>
      <t>CVD/ALD 5–10%</t>
    </r>
    <r>
      <rPr>
        <sz val="10"/>
        <rFont val="Noto Sans CJK SC"/>
        <family val="2"/>
      </rPr>
      <t>；</t>
    </r>
    <r>
      <rPr>
        <sz val="10"/>
        <rFont val="Arial"/>
        <charset val="1"/>
      </rPr>
      <t xml:space="preserve">PVD </t>
    </r>
    <r>
      <rPr>
        <sz val="10"/>
        <rFont val="Noto Sans CJK SC"/>
        <family val="2"/>
      </rPr>
      <t xml:space="preserve">成熟 </t>
    </r>
    <r>
      <rPr>
        <sz val="10"/>
        <rFont val="Arial"/>
        <charset val="1"/>
      </rPr>
      <t>15–20%</t>
    </r>
    <r>
      <rPr>
        <sz val="10"/>
        <rFont val="Noto Sans CJK SC"/>
        <family val="2"/>
      </rPr>
      <t xml:space="preserve">、先进 </t>
    </r>
    <r>
      <rPr>
        <sz val="10"/>
        <rFont val="Arial"/>
        <charset val="1"/>
      </rPr>
      <t>&lt;10%</t>
    </r>
  </si>
  <si>
    <t>市场规模第二大但国产化率极低，是市场大×渗透低组合最突出的一格。拓荆 PECVD 国内市占第一，ALD 与高深宽比填充仍依赖 AMAT / Lam / ASM International。</t>
  </si>
  <si>
    <t>拓荆科技 · 北方华创</t>
  </si>
  <si>
    <t>刻蚀</t>
  </si>
  <si>
    <t>整体 &gt;40%（另一口径 31%）；成熟 50–60%、先进 &lt;15%</t>
  </si>
  <si>
    <t>国产化最成功的前道设备。中微 5nm CCP 刻蚀机达国际水平并进入台积电验证流程，受益 3D NAND 层数增加。先进逻辑制程刻蚀仍 &lt;15%，与 Lam 差距集中在高深宽比与原子级精度。</t>
  </si>
  <si>
    <t>中微公司 · 北方华创</t>
  </si>
  <si>
    <t>量测检测</t>
  </si>
  <si>
    <t>低两位数</t>
  </si>
  <si>
    <r>
      <rPr>
        <sz val="10"/>
        <rFont val="Arial"/>
        <charset val="1"/>
      </rPr>
      <t xml:space="preserve">KLA </t>
    </r>
    <r>
      <rPr>
        <sz val="10"/>
        <rFont val="Noto Sans CJK SC"/>
        <family val="2"/>
      </rPr>
      <t>全球垄断度最高的环节之一。制程越先进、良率要求越高，量测设备价值量占比越高。中科飞测覆盖缺陷检测与膜厚量测，但先进节点的套刻精度量测、电子束检测仍基本空白。</t>
    </r>
  </si>
  <si>
    <t>中科飞测 · 精测电子</t>
  </si>
  <si>
    <t>测试设备（后道）</t>
  </si>
  <si>
    <t>约 20%（估算）</t>
  </si>
  <si>
    <r>
      <rPr>
        <sz val="10"/>
        <rFont val="Arial"/>
        <charset val="1"/>
      </rPr>
      <t xml:space="preserve">Advantest </t>
    </r>
    <r>
      <rPr>
        <sz val="10"/>
        <rFont val="Noto Sans CJK SC"/>
        <family val="2"/>
      </rPr>
      <t xml:space="preserve">与 </t>
    </r>
    <r>
      <rPr>
        <sz val="10"/>
        <rFont val="Arial"/>
        <charset val="1"/>
      </rPr>
      <t xml:space="preserve">Teradyne </t>
    </r>
    <r>
      <rPr>
        <sz val="10"/>
        <rFont val="Noto Sans CJK SC"/>
        <family val="2"/>
      </rPr>
      <t>双寡头。华峰测控在模拟</t>
    </r>
    <r>
      <rPr>
        <sz val="10"/>
        <rFont val="Arial"/>
        <charset val="1"/>
      </rPr>
      <t>/</t>
    </r>
    <r>
      <rPr>
        <sz val="10"/>
        <rFont val="Noto Sans CJK SC"/>
        <family val="2"/>
      </rPr>
      <t>功率测试机上国内领先，</t>
    </r>
    <r>
      <rPr>
        <sz val="10"/>
        <rFont val="Arial"/>
        <charset val="1"/>
      </rPr>
      <t xml:space="preserve">SoC </t>
    </r>
    <r>
      <rPr>
        <sz val="10"/>
        <rFont val="Noto Sans CJK SC"/>
        <family val="2"/>
      </rPr>
      <t xml:space="preserve">高端测试机与 </t>
    </r>
    <r>
      <rPr>
        <sz val="10"/>
        <rFont val="Arial"/>
        <charset val="1"/>
      </rPr>
      <t xml:space="preserve">HBM </t>
    </r>
    <r>
      <rPr>
        <sz val="10"/>
        <rFont val="Noto Sans CJK SC"/>
        <family val="2"/>
      </rPr>
      <t>测试仍是短板。</t>
    </r>
  </si>
  <si>
    <t>长川科技 · 华峰测控</t>
  </si>
  <si>
    <t>清洗设备</t>
  </si>
  <si>
    <t>50–60%</t>
  </si>
  <si>
    <t>已实质突围。盛美上海的 SAPS/TEBO 兆声波清洗形成差异化技术路径，2025 营收 67.86 亿、国内行业第三。与 SCREEN 的差距主要在先进节点的产能与客户覆盖，而非技术可行性。</t>
  </si>
  <si>
    <t>盛美上海 · 至纯科技 · 北方华创</t>
  </si>
  <si>
    <r>
      <rPr>
        <sz val="10"/>
        <rFont val="Arial"/>
        <charset val="1"/>
      </rPr>
      <t xml:space="preserve">CMP </t>
    </r>
    <r>
      <rPr>
        <sz val="10"/>
        <rFont val="Noto Sans CJK SC"/>
        <family val="2"/>
      </rPr>
      <t>设备</t>
    </r>
  </si>
  <si>
    <t>成熟 15–25%、先进 &lt;10%</t>
  </si>
  <si>
    <t>华海清科国内第一，但全球市场由 AMAT 与荏原（Ebara）主导。逻辑、存储、先进封装均需多次平坦化，先进封装扩产会拉动需求。</t>
  </si>
  <si>
    <t>华海清科</t>
  </si>
  <si>
    <t>涂胶显影</t>
  </si>
  <si>
    <t>成熟 10–15%、先进 &lt;10%</t>
  </si>
  <si>
    <t>东京电子（TEL）全球份额超 85%，是垄断度最高的单一环节之一。芯源微是国内唯一规模化供应商，但与光刻机联机的先进制程 track 仍未突破。</t>
  </si>
  <si>
    <t>芯源微</t>
  </si>
  <si>
    <t>离子注入</t>
  </si>
  <si>
    <t>成熟 10–20%、先进 &lt;5%</t>
  </si>
  <si>
    <r>
      <rPr>
        <sz val="10"/>
        <rFont val="Arial"/>
        <charset val="1"/>
      </rPr>
      <t xml:space="preserve">AMAT </t>
    </r>
    <r>
      <rPr>
        <sz val="10"/>
        <rFont val="Noto Sans CJK SC"/>
        <family val="2"/>
      </rPr>
      <t xml:space="preserve">与 </t>
    </r>
    <r>
      <rPr>
        <sz val="10"/>
        <rFont val="Arial"/>
        <charset val="1"/>
      </rPr>
      <t xml:space="preserve">Axcelis </t>
    </r>
    <r>
      <rPr>
        <sz val="10"/>
        <rFont val="Noto Sans CJK SC"/>
        <family val="2"/>
      </rPr>
      <t>主导。凯世通（万业企业）与中科信在低能大束流机型上有进展，先进逻辑制程的高能注入机基本空白。</t>
    </r>
  </si>
  <si>
    <t>万业企业/凯世通 · 中科信</t>
  </si>
  <si>
    <t>热处理 / 炉管</t>
  </si>
  <si>
    <t>30–40%</t>
  </si>
  <si>
    <t>北方华创覆盖，国产化率中等偏上。与 Kokusai、TEL 的差距集中在先进制程的原子层级温控与均匀性。</t>
  </si>
  <si>
    <t>北方华创</t>
  </si>
  <si>
    <t>去胶设备</t>
  </si>
  <si>
    <r>
      <rPr>
        <sz val="10"/>
        <rFont val="Arial"/>
        <charset val="1"/>
      </rPr>
      <t>75–90%</t>
    </r>
    <r>
      <rPr>
        <sz val="10"/>
        <rFont val="Noto Sans CJK SC"/>
        <family val="2"/>
      </rPr>
      <t xml:space="preserve">（中低端）；高端 </t>
    </r>
    <r>
      <rPr>
        <sz val="10"/>
        <rFont val="Arial"/>
        <charset val="1"/>
      </rPr>
      <t>&lt;30%</t>
    </r>
  </si>
  <si>
    <t>国产化率最高的设备环节，但市场规模小、技术壁垒相对低，投资价值有限。高端产品仍低于 30%。</t>
  </si>
  <si>
    <t>屹唐半导体等</t>
  </si>
  <si>
    <t>半导体硅片</t>
  </si>
  <si>
    <r>
      <rPr>
        <sz val="10"/>
        <rFont val="Arial"/>
        <charset val="1"/>
      </rPr>
      <t xml:space="preserve">8 </t>
    </r>
    <r>
      <rPr>
        <sz val="10"/>
        <rFont val="Noto Sans CJK SC"/>
        <family val="2"/>
      </rPr>
      <t xml:space="preserve">英寸 </t>
    </r>
    <r>
      <rPr>
        <sz val="10"/>
        <rFont val="Arial"/>
        <charset val="1"/>
      </rPr>
      <t>55%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 xml:space="preserve">12 </t>
    </r>
    <r>
      <rPr>
        <sz val="10"/>
        <rFont val="Noto Sans CJK SC"/>
        <family val="2"/>
      </rPr>
      <t xml:space="preserve">英寸仅 </t>
    </r>
    <r>
      <rPr>
        <sz val="10"/>
        <rFont val="Arial"/>
        <charset val="1"/>
      </rPr>
      <t>10%</t>
    </r>
  </si>
  <si>
    <t>典型的两极分化格。8 英寸已实质替代，12 英寸国产化率仅 10%，且价格战下沪硅产业 2025 年净亏 15.08 亿。信越、SUMCO 在 12 英寸大直径、低缺陷密度上仍有明显优势。</t>
  </si>
  <si>
    <t>沪硅产业 · 中欣晶圆（未上市）· 立昂微 · 有研硅</t>
  </si>
  <si>
    <t>光刻胶</t>
  </si>
  <si>
    <t>整体 &lt;10%；g/i 线 30%、KrF 10%、ArF 2%、EUV 研发中</t>
  </si>
  <si>
    <t>材料端差距最大的一格，且分层极其陡峭。2025 年底南大光电成为国内首家 ArF 光刻胶量产企业，产品已通过中芯国际与长江存储验证——这是真突破，但 ArF 整体国产化率仍只有 2%。EUV 光刻胶尚在研发阶段，JSR、东京应化、信越垄断。</t>
  </si>
  <si>
    <t>南大光电 · 彤程新材 · 晶瑞电材</t>
  </si>
  <si>
    <t>电子特气</t>
  </si>
  <si>
    <t>约 30%；超纯氨、六氟化钨等高端更低</t>
  </si>
  <si>
    <t>认证周期长、纯度要求高，是扩产的持续性消耗品。不同气体品种壁垒差异极大——大宗气体国产化率高，特种电子气体仍依赖林德、液化空气、空气化工。</t>
  </si>
  <si>
    <t>华特气体 · 金宏气体 · 中船特气 · 南大光电</t>
  </si>
  <si>
    <r>
      <rPr>
        <sz val="10"/>
        <rFont val="Arial"/>
        <charset val="1"/>
      </rPr>
      <t xml:space="preserve">CMP </t>
    </r>
    <r>
      <rPr>
        <sz val="10"/>
        <rFont val="Noto Sans CJK SC"/>
        <family val="2"/>
      </rPr>
      <t xml:space="preserve">抛光液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抛光垫</t>
    </r>
  </si>
  <si>
    <r>
      <rPr>
        <sz val="10"/>
        <rFont val="Arial"/>
        <charset val="1"/>
      </rPr>
      <t>&lt;30%</t>
    </r>
    <r>
      <rPr>
        <sz val="10"/>
        <rFont val="Noto Sans CJK SC"/>
        <family val="2"/>
      </rPr>
      <t>，明确的卡脖子环节</t>
    </r>
  </si>
  <si>
    <t>安集科技在抛光液国内领先、鼎龙股份在抛光垫实现替代并维持 35–45% 高毛利，说明壁垒真实存在。整体国产化率仍不足 30%，Entegris（原 Cabot）与 Fujimi 主导。</t>
  </si>
  <si>
    <t>安集科技 · 鼎龙股份</t>
  </si>
  <si>
    <t>溅射靶材</t>
  </si>
  <si>
    <t>较高；江丰在晶圆制造靶材市占 38%</t>
  </si>
  <si>
    <t>材料端国产化最成功的一格。江丰电子在晶圆制造靶材领域市占率达 38%，已进入全球主流晶圆厂供应链。但市场规模仅 20 亿美元左右，天花板明显。</t>
  </si>
  <si>
    <t>江丰电子 · 有研新材</t>
  </si>
  <si>
    <t>湿电子化学品</t>
  </si>
  <si>
    <t>中低端高、高端（G4/G5 级）低</t>
  </si>
  <si>
    <t>通用湿化学品国产化率高，但先进制程要求的 G4/G5 超高纯等级仍依赖关东化学、Stella Chemifa、巴斯夫。</t>
  </si>
  <si>
    <t>江化微 · 晶瑞电材 · 格林达 · 上海新阳</t>
  </si>
  <si>
    <t>掩膜版</t>
  </si>
  <si>
    <t>低（先进节点基本空白）</t>
  </si>
  <si>
    <r>
      <rPr>
        <sz val="10"/>
        <rFont val="Arial"/>
        <charset val="1"/>
      </rPr>
      <t>Photronics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>Hoya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 xml:space="preserve">Toppan </t>
    </r>
    <r>
      <rPr>
        <sz val="10"/>
        <rFont val="Noto Sans CJK SC"/>
        <family val="2"/>
      </rPr>
      <t>主导。清溢光电覆盖平板显示与成熟制程半导体掩膜版，高端半导体掩膜版尚未突破。</t>
    </r>
  </si>
  <si>
    <t>清溢光电</t>
  </si>
  <si>
    <t>封装基板</t>
  </si>
  <si>
    <t>约 30%（ABF 载板更低）</t>
  </si>
  <si>
    <r>
      <rPr>
        <sz val="10"/>
        <rFont val="Arial"/>
        <charset val="1"/>
      </rPr>
      <t xml:space="preserve">AI </t>
    </r>
    <r>
      <rPr>
        <sz val="10"/>
        <rFont val="Noto Sans CJK SC"/>
        <family val="2"/>
      </rPr>
      <t xml:space="preserve">芯片带动 </t>
    </r>
    <r>
      <rPr>
        <sz val="10"/>
        <rFont val="Arial"/>
        <charset val="1"/>
      </rPr>
      <t xml:space="preserve">ABF </t>
    </r>
    <r>
      <rPr>
        <sz val="10"/>
        <rFont val="Noto Sans CJK SC"/>
        <family val="2"/>
      </rPr>
      <t xml:space="preserve">载板需求暴增。深南电路、兴森科技在切入，但高层数 </t>
    </r>
    <r>
      <rPr>
        <sz val="10"/>
        <rFont val="Arial"/>
        <charset val="1"/>
      </rPr>
      <t xml:space="preserve">ABF </t>
    </r>
    <r>
      <rPr>
        <sz val="10"/>
        <rFont val="Noto Sans CJK SC"/>
        <family val="2"/>
      </rPr>
      <t>载板仍由揖斐电、新光、欣兴主导。</t>
    </r>
  </si>
  <si>
    <t>深南电路 · 兴森科技</t>
  </si>
  <si>
    <t>EDA</t>
  </si>
  <si>
    <t>国产 EDA 国内份额约 20%，支撑到 14nm</t>
  </si>
  <si>
    <t>集中度最高的环节。Synopsys 32% + Cadence 23% + Siemens 14% = 全球 69%。中国 EDA 市场 184.9 亿元、占全球 18.1%，但国产工具国内份额仅约 20%，且工艺支撑能力停在 14nm。模拟全流程华大九天已可用，数字先进节点全流程仍是空白。</t>
  </si>
  <si>
    <t>华大九天 · 概伦电子 · 广立微 · 芯华章（未上市）</t>
  </si>
  <si>
    <t>DRAM</t>
  </si>
  <si>
    <t>超级周期</t>
  </si>
  <si>
    <t>长鑫全球份额 7.7–8%（2026Q1）</t>
  </si>
  <si>
    <t>已突围，且速度超预期。长鑫全球份额从 2025Q1 的 3% 升至 2026Q1 的 7.7–8%，稳居全球第四，2026Q1 DRAM 收入 73.09 亿美元、环比 +115%。差距集中在 HBM——三星、海力士的 HBM3E/HBM4 是 AI 服务器刚需，长鑫在 HBM 上仍处追赶阶段，这是最关键的剩余缺口。</t>
  </si>
  <si>
    <t>长鑫科技 688825（2026-07 已上市）</t>
  </si>
  <si>
    <t>NAND Flash</t>
  </si>
  <si>
    <t>长江存储全球份额 13%（2026Q1）</t>
  </si>
  <si>
    <t>已突围。长江存储份额从 2025Q1 的 8% 升至 2026Q1 的 13%，与美光、闪迪并列，仅次于三星 29%、海力士 18%、铠侠 14%。Xtacking 架构在层数堆叠上有独特路径。仍未上市（2026-05 启动 IPO 辅导）。</t>
  </si>
  <si>
    <t>长江存储（未上市，IPO 辅导中）</t>
  </si>
  <si>
    <t>晶圆代工</t>
  </si>
  <si>
    <t>中芯全球约 6%（第三）；中国大陆产能份额 21%</t>
  </si>
  <si>
    <t>中芯国际 2025 营收 673.23 亿元（+16.5%），8 英寸产能利用率超 90%。制程上 N+2（7nm 级）靠 DUV 多重曝光实现，无 EUV 意味着 5nm 以下路径受阻，与台积电 2nm 量产存在约 3–4 代差距。Yole 预计 2030 年中国大陆产能份额达 30%、超越中国台湾成为全球最大代工中心。</t>
  </si>
  <si>
    <t>中芯国际 · 华虹公司 · 晶合集成</t>
  </si>
  <si>
    <t>封装测试（OSAT）</t>
  </si>
  <si>
    <t>长电全球 12.2%（第三）</t>
  </si>
  <si>
    <t>传统封装已突围：长电科技全球份额 12.2%、仅次于日月光与安靠，前三合计超 52%。但 CoWoS 级先进封装与 HBM 集成仍由台积电主导，这是 AI 芯片的实际瓶颈之一。长电 2026 年固定资产投资预算约 100 亿元，重点投先进封装。</t>
  </si>
  <si>
    <t>长电科技 · 通富微电 · 华天科技</t>
  </si>
  <si>
    <r>
      <rPr>
        <sz val="10"/>
        <rFont val="Arial"/>
        <charset val="1"/>
      </rPr>
      <t xml:space="preserve">AI </t>
    </r>
    <r>
      <rPr>
        <sz val="10"/>
        <rFont val="Noto Sans CJK SC"/>
        <family val="2"/>
      </rPr>
      <t>加速芯片</t>
    </r>
  </si>
  <si>
    <t>2000+</t>
  </si>
  <si>
    <t>国产在华份额 52.3%（2026Q1，首破半数）</t>
  </si>
  <si>
    <t>国内替代速度极快，全球份额仍微小。2026Q1 国产 AI 芯片在中国市场占比首破 52.3%，昇腾 37%（占国产总量 70%），英伟达降至 15–20%，Bernstein 预计 2026 全年华为达 50%、英伟达降至 8%。但放到全球，英伟达份额仍超 80%，中国厂商全球份额个位数。核心约束：先进制程、HBM 供给、CUDA 生态、集群互联。</t>
  </si>
  <si>
    <t>华为昇腾（未上市）· 寒武纪 · 海光 · 摩尔线程 · 沐曦 · 壁仞</t>
  </si>
  <si>
    <t>光模块 / 光互联</t>
  </si>
  <si>
    <t>中际旭创全球 23.4%，中国厂商合计约 60%</t>
  </si>
  <si>
    <t>唯一做到全球第一的环节。中际旭创全球市占 23.4%、连续五年出货量与营收双第一，800G 超 40%、1.6T 达 50–70%。技术上已无代差。风险不在技术而在结构：收入高度依赖北美云厂商，受 AI capex 波动与制裁预期双重压制——这正是五个模型建议减配的原因。</t>
  </si>
  <si>
    <t>中际旭创 · 新易盛 · 光迅科技 · 天孚通信</t>
  </si>
  <si>
    <t>内存接口芯片</t>
  </si>
  <si>
    <t>澜起为全球三强之一</t>
  </si>
  <si>
    <t>澜起科技与 Rambus、瑞萨（原 IDT）构成全球三强格局，是国产芯片设计中全球竞争力最强的环节之一。DDR5 代际升级与服务器内存容量提升直接拉动需求。</t>
  </si>
  <si>
    <t>澜起科技</t>
  </si>
  <si>
    <t>基础软件（OS/数据库）</t>
  </si>
  <si>
    <t>—</t>
  </si>
  <si>
    <t>党政信创领域高、商业市场低</t>
  </si>
  <si>
    <t>党政与金融信创场景国产化率高（政策驱动），但商业市场仍由 Oracle、微软、Red Hat 主导。差距在生态而非功能：迁移成本、第三方软件兼容、开发者规模。</t>
  </si>
  <si>
    <t>麒麟软件 · 统信软件 · 达梦数据 · 东方通</t>
  </si>
  <si>
    <t>合计(仅可量化环节)</t>
  </si>
  <si>
    <t>← 分母为本表可量化的 22 个环节之和；跨层级相加，仅作数量级参考</t>
  </si>
  <si>
    <t>公司</t>
  </si>
  <si>
    <t>代码/状态</t>
  </si>
  <si>
    <t>营收(亿元)</t>
  </si>
  <si>
    <t>营收期间</t>
  </si>
  <si>
    <t>营收(亿美元)</t>
  </si>
  <si>
    <t>全球份额(%)</t>
  </si>
  <si>
    <t>中国份额(%)</t>
  </si>
  <si>
    <t>与海外对标的差距</t>
  </si>
  <si>
    <t>长鑫科技</t>
  </si>
  <si>
    <t>688825.SH</t>
  </si>
  <si>
    <r>
      <rPr>
        <sz val="10"/>
        <rFont val="Arial"/>
        <charset val="1"/>
      </rPr>
      <t>2026H1</t>
    </r>
    <r>
      <rPr>
        <sz val="10"/>
        <rFont val="Noto Sans CJK SC"/>
        <family val="2"/>
      </rPr>
      <t>（预计）</t>
    </r>
  </si>
  <si>
    <t>全球第四大 DRAM 厂，份额 2025Q1 3% → 2026Q1 7.7–8%。2026Q1 DRAM 收入 73.09 亿美元、环比 +115%。剩余缺口是 HBM：三星/海力士 HBM3E/HBM4 是 AI 服务器刚需，长鑫仍在追赶。2026-07-27 上市首日 +465%，市值 3.28 万亿。</t>
  </si>
  <si>
    <t>中际旭创</t>
  </si>
  <si>
    <t>300308.SZ</t>
  </si>
  <si>
    <t>光模块</t>
  </si>
  <si>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>年报</t>
    </r>
  </si>
  <si>
    <t>技术上已无代差。全球市占 23.4%、连续五年出货量与营收双第一；800G 超 40%、1.6T 达 50–70%。对标 Coherent、Lumentum 已实现反超。风险在客户结构（北美云厂商依赖）而非技术。</t>
  </si>
  <si>
    <t>长江存储</t>
  </si>
  <si>
    <t>未上市</t>
  </si>
  <si>
    <t>NAND</t>
  </si>
  <si>
    <t>全球 NAND 份额 8%（2025Q1）→ 13%（2026Q1），与美光、闪迪并列。Xtacking 架构提供差异化路径。2026-05 启动 IPO 辅导，预计 2026 下半年上市，估值预期约 3000 亿。</t>
  </si>
  <si>
    <t>长电科技</t>
  </si>
  <si>
    <t>600584.SH</t>
  </si>
  <si>
    <t>封装测试</t>
  </si>
  <si>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>未核实</t>
    </r>
  </si>
  <si>
    <t>全球第三大 OSAT，仅次于日月光、安靠，前三合计超 52%。传统封装已完成替代。差距在 CoWoS 级先进封装与 HBM 集成，该领域仍由台积电主导。2026 年固投预算约 100 亿投向先进封装。</t>
  </si>
  <si>
    <t>002371.SZ</t>
  </si>
  <si>
    <t>半导体设备</t>
  </si>
  <si>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年报 </t>
    </r>
    <r>
      <rPr>
        <sz val="10"/>
        <rFont val="Arial"/>
        <charset val="1"/>
      </rPr>
      <t>+30.85%</t>
    </r>
  </si>
  <si>
    <t>全球设备第 7，唯一进入前十的中国公司（约 51 亿美元）。平台型覆盖刻蚀/沉积/炉管/清洗。与 AMAT（约 270 亿美元）差距约 5 倍营收，产品线宽度与先进节点验证是主要缺口。</t>
  </si>
  <si>
    <t>华为昇腾</t>
  </si>
  <si>
    <r>
      <rPr>
        <sz val="10"/>
        <rFont val="Arial"/>
        <charset val="1"/>
      </rPr>
      <t xml:space="preserve">AI </t>
    </r>
    <r>
      <rPr>
        <sz val="10"/>
        <rFont val="Noto Sans CJK SC"/>
        <family val="2"/>
      </rPr>
      <t>芯片</t>
    </r>
  </si>
  <si>
    <t>未披露</t>
  </si>
  <si>
    <t>中国 AI 芯片市场销售额份额 37%（2026Q1），占国产芯片总量 70%；Bernstein 预计 2026 全年达 50%。与英伟达差距不在单卡算力而在三处：先进制程受限、HBM 供给、CUDA 生态迁移成本。全球份额仍个位数。</t>
  </si>
  <si>
    <t>盛美上海</t>
  </si>
  <si>
    <t>688082.SH</t>
  </si>
  <si>
    <t>清洗设备国产化率 50–60%，公司国内行业第三、净利 13.95 亿。SAPS/TEBO 兆声波清洗为差异化技术路径，非简单模仿。与 SCREEN 差距在先进节点产能与全球客户覆盖。母体 ACM Research 在纳斯达克上市（ACMR）。</t>
  </si>
  <si>
    <t>中微公司</t>
  </si>
  <si>
    <t>688012.SH</t>
  </si>
  <si>
    <t>刻蚀设备</t>
  </si>
  <si>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年报 </t>
    </r>
    <r>
      <rPr>
        <sz val="10"/>
        <rFont val="Arial"/>
        <charset val="1"/>
      </rPr>
      <t>+36.62%</t>
    </r>
  </si>
  <si>
    <r>
      <rPr>
        <sz val="10"/>
        <rFont val="Arial"/>
        <charset val="1"/>
      </rPr>
      <t xml:space="preserve">5nm CCP </t>
    </r>
    <r>
      <rPr>
        <sz val="10"/>
        <rFont val="Noto Sans CJK SC"/>
        <family val="2"/>
      </rPr>
      <t xml:space="preserve">刻蚀机已达国际水平并进入台积电验证流程——这是国产前道设备最实质的技术认可。成熟制程刻蚀国产化率 </t>
    </r>
    <r>
      <rPr>
        <sz val="10"/>
        <rFont val="Arial"/>
        <charset val="1"/>
      </rPr>
      <t>50–60%</t>
    </r>
    <r>
      <rPr>
        <sz val="10"/>
        <rFont val="Noto Sans CJK SC"/>
        <family val="2"/>
      </rPr>
      <t xml:space="preserve">，先进逻辑刻蚀仍 </t>
    </r>
    <r>
      <rPr>
        <sz val="10"/>
        <rFont val="Arial"/>
        <charset val="1"/>
      </rPr>
      <t>&lt;15%</t>
    </r>
    <r>
      <rPr>
        <sz val="10"/>
        <rFont val="Noto Sans CJK SC"/>
        <family val="2"/>
      </rPr>
      <t xml:space="preserve">，与 </t>
    </r>
    <r>
      <rPr>
        <sz val="10"/>
        <rFont val="Arial"/>
        <charset val="1"/>
      </rPr>
      <t xml:space="preserve">Lam </t>
    </r>
    <r>
      <rPr>
        <sz val="10"/>
        <rFont val="Noto Sans CJK SC"/>
        <family val="2"/>
      </rPr>
      <t>差距在高深宽比与原子级精度。</t>
    </r>
  </si>
  <si>
    <t>江丰电子</t>
  </si>
  <si>
    <t>300666.SZ</t>
  </si>
  <si>
    <t>晶圆制造靶材国内市占 38%，已进入全球主流晶圆厂供应链，是材料端国产化最成功的品类。制约在市场天花板——全球靶材市场仅约 20 亿美元。</t>
  </si>
  <si>
    <t>688008.SH</t>
  </si>
  <si>
    <t>内存接口</t>
  </si>
  <si>
    <t>与 Rambus、瑞萨构成全球三强，是国产芯片设计里全球竞争力最强的环节之一。DDR5 代际升级与服务器内存容量提升直接拉动需求，受益于存储超级周期。</t>
  </si>
  <si>
    <t>中芯国际</t>
  </si>
  <si>
    <t>688981.SH / 00981.HK</t>
  </si>
  <si>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年报 </t>
    </r>
    <r>
      <rPr>
        <sz val="10"/>
        <rFont val="Arial"/>
        <charset val="1"/>
      </rPr>
      <t>+16.5%</t>
    </r>
  </si>
  <si>
    <t>全球第三大代工厂。净利 50.41 亿（+36.3%），8 英寸产能利用率超 90%。N+2（7nm 级）靠 DUV 多重曝光实现，无 EUV 意味着 5nm 以下路径受阻，与台积电 2nm 量产约 3–4 代差距。成本与良率劣势随节点推进放大。</t>
  </si>
  <si>
    <t>华虹公司</t>
  </si>
  <si>
    <t>688347.SH / 01347.HK</t>
  </si>
  <si>
    <t>特色工艺路线，不追先进制程因而不直接受 EUV 限制。8 英寸产能利用率超 90%，与联电、格芯在成熟制程正面竞争，差距相对可控。</t>
  </si>
  <si>
    <t>华特气体</t>
  </si>
  <si>
    <t>688268.SH</t>
  </si>
  <si>
    <t>电子特气整体国产化率约 30%。已通过多家主流晶圆厂认证（认证周期通常 2–3 年，构成真实壁垒）。高端品种如超纯氨、六氟化钨国产化率更低。</t>
  </si>
  <si>
    <t>江化微</t>
  </si>
  <si>
    <t>603078.SH</t>
  </si>
  <si>
    <t>通用湿化学品国产化率高，G4/G5 超高纯等级仍依赖关东化学、Stella Chemifa。差距在纯度稳定性与金属离子控制。</t>
  </si>
  <si>
    <t>寒武纪</t>
  </si>
  <si>
    <t>688256.SH</t>
  </si>
  <si>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年报 </t>
    </r>
    <r>
      <rPr>
        <sz val="10"/>
        <rFont val="Arial"/>
        <charset val="1"/>
      </rPr>
      <t>+453.21%</t>
    </r>
  </si>
  <si>
    <t>中国 AI 芯片销售额份额 7–9%（2026Q1），2025 营收同比 +453%。与英伟达的核心差距是软件生态——CUDA 迁移成本决定客户粘性。科创板首家万亿市值公司，估值已充分反映增长预期。</t>
  </si>
  <si>
    <t>海光信息</t>
  </si>
  <si>
    <t>688041.SH</t>
  </si>
  <si>
    <t>服务器 CPU</t>
  </si>
  <si>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净利 </t>
    </r>
    <r>
      <rPr>
        <sz val="10"/>
        <rFont val="Arial"/>
        <charset val="1"/>
      </rPr>
      <t xml:space="preserve">25.42 </t>
    </r>
    <r>
      <rPr>
        <sz val="10"/>
        <rFont val="Noto Sans CJK SC"/>
        <family val="2"/>
      </rPr>
      <t>亿</t>
    </r>
  </si>
  <si>
    <r>
      <rPr>
        <sz val="10"/>
        <rFont val="Arial"/>
        <charset val="1"/>
      </rPr>
      <t xml:space="preserve">x86 </t>
    </r>
    <r>
      <rPr>
        <sz val="10"/>
        <rFont val="Noto Sans CJK SC"/>
        <family val="2"/>
      </rPr>
      <t xml:space="preserve">授权路线，生态兼容性是最大优势也是最大风险（授权可持续性）。与 </t>
    </r>
    <r>
      <rPr>
        <sz val="10"/>
        <rFont val="Arial"/>
        <charset val="1"/>
      </rPr>
      <t>AMD EPYC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 xml:space="preserve">Intel Xeon </t>
    </r>
    <r>
      <rPr>
        <sz val="10"/>
        <rFont val="Noto Sans CJK SC"/>
        <family val="2"/>
      </rPr>
      <t>在单核性能与制程上有代差，但在信创市场已形成规模。</t>
    </r>
  </si>
  <si>
    <t>拓荆科技</t>
  </si>
  <si>
    <t>688072.SH</t>
  </si>
  <si>
    <t>薄膜沉积</t>
  </si>
  <si>
    <r>
      <rPr>
        <sz val="10"/>
        <rFont val="Arial"/>
        <charset val="1"/>
      </rPr>
      <t xml:space="preserve">PECVD </t>
    </r>
    <r>
      <rPr>
        <sz val="10"/>
        <rFont val="Noto Sans CJK SC"/>
        <family val="2"/>
      </rPr>
      <t xml:space="preserve">国内市占第一，是薄膜沉积的国产独苗。但薄膜沉积整体国产化率仅 </t>
    </r>
    <r>
      <rPr>
        <sz val="10"/>
        <rFont val="Arial"/>
        <charset val="1"/>
      </rPr>
      <t>5–10%</t>
    </r>
    <r>
      <rPr>
        <sz val="10"/>
        <rFont val="Noto Sans CJK SC"/>
        <family val="2"/>
      </rPr>
      <t xml:space="preserve">，市场规模 </t>
    </r>
    <r>
      <rPr>
        <sz val="10"/>
        <rFont val="Arial"/>
        <charset val="1"/>
      </rPr>
      <t xml:space="preserve">282 </t>
    </r>
    <r>
      <rPr>
        <sz val="10"/>
        <rFont val="Noto Sans CJK SC"/>
        <family val="2"/>
      </rPr>
      <t>亿美元（第二大环节）。</t>
    </r>
    <r>
      <rPr>
        <sz val="10"/>
        <rFont val="Arial"/>
        <charset val="1"/>
      </rPr>
      <t xml:space="preserve">ALD </t>
    </r>
    <r>
      <rPr>
        <sz val="10"/>
        <rFont val="Noto Sans CJK SC"/>
        <family val="2"/>
      </rPr>
      <t xml:space="preserve">与高深宽比填充仍依赖 </t>
    </r>
    <r>
      <rPr>
        <sz val="10"/>
        <rFont val="Arial"/>
        <charset val="1"/>
      </rPr>
      <t>AMAT/Lam/ASM International——</t>
    </r>
    <r>
      <rPr>
        <sz val="10"/>
        <rFont val="Noto Sans CJK SC"/>
        <family val="2"/>
      </rPr>
      <t>市场大</t>
    </r>
    <r>
      <rPr>
        <sz val="10"/>
        <rFont val="Arial"/>
        <charset val="1"/>
      </rPr>
      <t>×</t>
    </r>
    <r>
      <rPr>
        <sz val="10"/>
        <rFont val="Noto Sans CJK SC"/>
        <family val="2"/>
      </rPr>
      <t>渗透低，空间与难度同样大。</t>
    </r>
  </si>
  <si>
    <t>688120.SH</t>
  </si>
  <si>
    <t>2025Q1–Q3</t>
  </si>
  <si>
    <r>
      <rPr>
        <sz val="10"/>
        <rFont val="Arial"/>
        <charset val="1"/>
      </rPr>
      <t xml:space="preserve">CMP </t>
    </r>
    <r>
      <rPr>
        <sz val="10"/>
        <rFont val="Noto Sans CJK SC"/>
        <family val="2"/>
      </rPr>
      <t>国内第一，</t>
    </r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前三季营收 </t>
    </r>
    <r>
      <rPr>
        <sz val="10"/>
        <rFont val="Arial"/>
        <charset val="1"/>
      </rPr>
      <t xml:space="preserve">31.94 </t>
    </r>
    <r>
      <rPr>
        <sz val="10"/>
        <rFont val="Noto Sans CJK SC"/>
        <family val="2"/>
      </rPr>
      <t xml:space="preserve">亿、行业第 </t>
    </r>
    <r>
      <rPr>
        <sz val="10"/>
        <rFont val="Arial"/>
        <charset val="1"/>
      </rPr>
      <t>7</t>
    </r>
    <r>
      <rPr>
        <sz val="10"/>
        <rFont val="Noto Sans CJK SC"/>
        <family val="2"/>
      </rPr>
      <t xml:space="preserve">。成熟制程国产化率 </t>
    </r>
    <r>
      <rPr>
        <sz val="10"/>
        <rFont val="Arial"/>
        <charset val="1"/>
      </rPr>
      <t>15–25%</t>
    </r>
    <r>
      <rPr>
        <sz val="10"/>
        <rFont val="Noto Sans CJK SC"/>
        <family val="2"/>
      </rPr>
      <t xml:space="preserve">、先进制程 </t>
    </r>
    <r>
      <rPr>
        <sz val="10"/>
        <rFont val="Arial"/>
        <charset val="1"/>
      </rPr>
      <t>&lt;10%</t>
    </r>
    <r>
      <rPr>
        <sz val="10"/>
        <rFont val="Noto Sans CJK SC"/>
        <family val="2"/>
      </rPr>
      <t>，</t>
    </r>
    <r>
      <rPr>
        <sz val="10"/>
        <rFont val="Arial"/>
        <charset val="1"/>
      </rPr>
      <t xml:space="preserve">AMAT </t>
    </r>
    <r>
      <rPr>
        <sz val="10"/>
        <rFont val="Noto Sans CJK SC"/>
        <family val="2"/>
      </rPr>
      <t>与荏原主导。先进封装扩产会拉动平坦化需求。</t>
    </r>
  </si>
  <si>
    <t>中科飞测</t>
  </si>
  <si>
    <t>688361.SH</t>
  </si>
  <si>
    <r>
      <rPr>
        <sz val="10"/>
        <rFont val="Arial"/>
        <charset val="1"/>
      </rPr>
      <t xml:space="preserve">KLA </t>
    </r>
    <r>
      <rPr>
        <sz val="10"/>
        <rFont val="Noto Sans CJK SC"/>
        <family val="2"/>
      </rPr>
      <t>是全球垄断度最高的设备商之一。公司覆盖缺陷检测与膜厚量测，先进节点的套刻精度量测与电子束检测基本空白。制程越先进，量测设备价值量占比越高，因此这一格的长期空间被低估。</t>
    </r>
  </si>
  <si>
    <t>688037.SH</t>
  </si>
  <si>
    <t>东京电子全球份额超 85%，垄断度极高。芯源微是国内唯一规模化供应商，成熟制程国产化率 10–15%，与光刻机联机的先进制程 track 尚未突破。</t>
  </si>
  <si>
    <t>沪硅产业</t>
  </si>
  <si>
    <t>688126.SH</t>
  </si>
  <si>
    <r>
      <rPr>
        <sz val="10"/>
        <rFont val="Arial"/>
        <charset val="1"/>
      </rPr>
      <t xml:space="preserve">2025 · 300mm </t>
    </r>
    <r>
      <rPr>
        <sz val="10"/>
        <rFont val="Noto Sans CJK SC"/>
        <family val="2"/>
      </rPr>
      <t>部分</t>
    </r>
  </si>
  <si>
    <r>
      <rPr>
        <sz val="10"/>
        <rFont val="Arial"/>
        <charset val="1"/>
      </rPr>
      <t xml:space="preserve">300mm </t>
    </r>
    <r>
      <rPr>
        <sz val="10"/>
        <rFont val="Noto Sans CJK SC"/>
        <family val="2"/>
      </rPr>
      <t xml:space="preserve">硅片销量 </t>
    </r>
    <r>
      <rPr>
        <sz val="10"/>
        <rFont val="Arial"/>
        <charset val="1"/>
      </rPr>
      <t xml:space="preserve">641.63 </t>
    </r>
    <r>
      <rPr>
        <sz val="10"/>
        <rFont val="Noto Sans CJK SC"/>
        <family val="2"/>
      </rPr>
      <t>万片（</t>
    </r>
    <r>
      <rPr>
        <sz val="10"/>
        <rFont val="Arial"/>
        <charset val="1"/>
      </rPr>
      <t>+27.01%</t>
    </r>
    <r>
      <rPr>
        <sz val="10"/>
        <rFont val="Noto Sans CJK SC"/>
        <family val="2"/>
      </rPr>
      <t xml:space="preserve">），但 </t>
    </r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年净亏 </t>
    </r>
    <r>
      <rPr>
        <sz val="10"/>
        <rFont val="Arial"/>
        <charset val="1"/>
      </rPr>
      <t xml:space="preserve">15.08 </t>
    </r>
    <r>
      <rPr>
        <sz val="10"/>
        <rFont val="Noto Sans CJK SC"/>
        <family val="2"/>
      </rPr>
      <t>亿——</t>
    </r>
    <r>
      <rPr>
        <sz val="10"/>
        <rFont val="Arial"/>
        <charset val="1"/>
      </rPr>
      <t xml:space="preserve">12 </t>
    </r>
    <r>
      <rPr>
        <sz val="10"/>
        <rFont val="Noto Sans CJK SC"/>
        <family val="2"/>
      </rPr>
      <t xml:space="preserve">英寸国产化率仅 </t>
    </r>
    <r>
      <rPr>
        <sz val="10"/>
        <rFont val="Arial"/>
        <charset val="1"/>
      </rPr>
      <t>10%</t>
    </r>
    <r>
      <rPr>
        <sz val="10"/>
        <rFont val="Noto Sans CJK SC"/>
        <family val="2"/>
      </rPr>
      <t>、行业价格战叠加产能爬坡。信越、</t>
    </r>
    <r>
      <rPr>
        <sz val="10"/>
        <rFont val="Arial"/>
        <charset val="1"/>
      </rPr>
      <t xml:space="preserve">SUMCO </t>
    </r>
    <r>
      <rPr>
        <sz val="10"/>
        <rFont val="Noto Sans CJK SC"/>
        <family val="2"/>
      </rPr>
      <t>在大直径低缺陷密度上仍有明显优势。</t>
    </r>
    <r>
      <rPr>
        <sz val="10"/>
        <rFont val="Arial"/>
        <charset val="1"/>
      </rPr>
      <t xml:space="preserve">8 </t>
    </r>
    <r>
      <rPr>
        <sz val="10"/>
        <rFont val="Noto Sans CJK SC"/>
        <family val="2"/>
      </rPr>
      <t>英寸已实质替代（</t>
    </r>
    <r>
      <rPr>
        <sz val="10"/>
        <rFont val="Arial"/>
        <charset val="1"/>
      </rPr>
      <t>55%</t>
    </r>
    <r>
      <rPr>
        <sz val="10"/>
        <rFont val="Noto Sans CJK SC"/>
        <family val="2"/>
      </rPr>
      <t>）。</t>
    </r>
  </si>
  <si>
    <t>南大光电</t>
  </si>
  <si>
    <t>300346.SZ</t>
  </si>
  <si>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营收 </t>
    </r>
    <r>
      <rPr>
        <sz val="10"/>
        <rFont val="Arial"/>
        <charset val="1"/>
      </rPr>
      <t>+18%</t>
    </r>
  </si>
  <si>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年底成为国内首家 </t>
    </r>
    <r>
      <rPr>
        <sz val="10"/>
        <rFont val="Arial"/>
        <charset val="1"/>
      </rPr>
      <t xml:space="preserve">ArF </t>
    </r>
    <r>
      <rPr>
        <sz val="10"/>
        <rFont val="Noto Sans CJK SC"/>
        <family val="2"/>
      </rPr>
      <t xml:space="preserve">光刻胶量产企业，已通过中芯国际与长江存储验证——这是材料端最实质的突破。但 </t>
    </r>
    <r>
      <rPr>
        <sz val="10"/>
        <rFont val="Arial"/>
        <charset val="1"/>
      </rPr>
      <t xml:space="preserve">ArF </t>
    </r>
    <r>
      <rPr>
        <sz val="10"/>
        <rFont val="Noto Sans CJK SC"/>
        <family val="2"/>
      </rPr>
      <t xml:space="preserve">整体国产化率仍仅 </t>
    </r>
    <r>
      <rPr>
        <sz val="10"/>
        <rFont val="Arial"/>
        <charset val="1"/>
      </rPr>
      <t>2%</t>
    </r>
    <r>
      <rPr>
        <sz val="10"/>
        <rFont val="Noto Sans CJK SC"/>
        <family val="2"/>
      </rPr>
      <t>，</t>
    </r>
    <r>
      <rPr>
        <sz val="10"/>
        <rFont val="Arial"/>
        <charset val="1"/>
      </rPr>
      <t xml:space="preserve">EUV </t>
    </r>
    <r>
      <rPr>
        <sz val="10"/>
        <rFont val="Noto Sans CJK SC"/>
        <family val="2"/>
      </rPr>
      <t>光刻胶尚在研发。</t>
    </r>
    <r>
      <rPr>
        <sz val="10"/>
        <rFont val="Arial"/>
        <charset val="1"/>
      </rPr>
      <t>JSR</t>
    </r>
    <r>
      <rPr>
        <sz val="10"/>
        <rFont val="Noto Sans CJK SC"/>
        <family val="2"/>
      </rPr>
      <t>、东京应化、信越垄断。</t>
    </r>
  </si>
  <si>
    <t>安集科技</t>
  </si>
  <si>
    <t>688019.SH</t>
  </si>
  <si>
    <r>
      <rPr>
        <sz val="10"/>
        <rFont val="Arial"/>
        <charset val="1"/>
      </rPr>
      <t xml:space="preserve">CMP </t>
    </r>
    <r>
      <rPr>
        <sz val="10"/>
        <rFont val="Noto Sans CJK SC"/>
        <family val="2"/>
      </rPr>
      <t>抛光液</t>
    </r>
  </si>
  <si>
    <t>抛光液国内领先，CMP 抛光材料整体国产化率 &lt;30%，是明确的卡脖子环节。Entegris（原 Cabot Microelectronics）与 Fujimi 主导。</t>
  </si>
  <si>
    <t>鼎龙股份</t>
  </si>
  <si>
    <t>300054.SZ</t>
  </si>
  <si>
    <r>
      <rPr>
        <sz val="10"/>
        <rFont val="Arial"/>
        <charset val="1"/>
      </rPr>
      <t xml:space="preserve">CMP </t>
    </r>
    <r>
      <rPr>
        <sz val="10"/>
        <rFont val="Noto Sans CJK SC"/>
        <family val="2"/>
      </rPr>
      <t>抛光垫</t>
    </r>
  </si>
  <si>
    <t>抛光垫实现国产替代并维持 35–45% 高毛利——高毛利本身说明壁垒真实存在、竞争尚未充分。对标杜邦、陶氏。</t>
  </si>
  <si>
    <t>华大九天</t>
  </si>
  <si>
    <t>301269.SZ</t>
  </si>
  <si>
    <t>国内 EDA 份额约 7%（本土第一）。模拟全流程已可用，数字先进节点全流程仍是空白，国产 EDA 整体工艺支撑能力停在 14nm。全球 Synopsys 32% + Cadence 23% + Siemens 14% = 69%。</t>
  </si>
  <si>
    <t>概伦电子</t>
  </si>
  <si>
    <t>688206.SH</t>
  </si>
  <si>
    <t>器件建模与特性测试是切入点，非全流程。对标 Synopsys、Cadence、Keysight 的相应模块。</t>
  </si>
  <si>
    <t>广立微</t>
  </si>
  <si>
    <t>301095.SZ</t>
  </si>
  <si>
    <t>良率分析与晶圆级电性测试，对标 PDF Solutions。细分赛道，避开与三巨头正面竞争。</t>
  </si>
  <si>
    <t>万业企业/凯世通</t>
  </si>
  <si>
    <t>600641.SH</t>
  </si>
  <si>
    <t>成熟制程离子注入国产化率 10–20%、先进 需分别考察设备验证、批量订单与上市公司业务结构，不能仅按概念归类。</t>
  </si>
  <si>
    <t>精测电子</t>
  </si>
  <si>
    <t>300567.SZ</t>
  </si>
  <si>
    <t>通过子公司布局半导体量测。公司还包含显示、新能源检测业务，并非纯半导体设备标的，用整体营收算半导体份额会显著高估。</t>
  </si>
  <si>
    <t>688138.SH</t>
  </si>
  <si>
    <t>覆盖平板显示与成熟制程半导体掩膜版，高端半导体掩膜版尚未突破。Photronics、Hoya、Toppan 主导。</t>
  </si>
  <si>
    <t>深南电路</t>
  </si>
  <si>
    <t>002916.SZ</t>
  </si>
  <si>
    <r>
      <rPr>
        <sz val="10"/>
        <rFont val="Arial"/>
        <charset val="1"/>
      </rPr>
      <t xml:space="preserve">AI </t>
    </r>
    <r>
      <rPr>
        <sz val="10"/>
        <rFont val="Noto Sans CJK SC"/>
        <family val="2"/>
      </rPr>
      <t xml:space="preserve">芯片带动 </t>
    </r>
    <r>
      <rPr>
        <sz val="10"/>
        <rFont val="Arial"/>
        <charset val="1"/>
      </rPr>
      <t xml:space="preserve">ABF </t>
    </r>
    <r>
      <rPr>
        <sz val="10"/>
        <rFont val="Noto Sans CJK SC"/>
        <family val="2"/>
      </rPr>
      <t xml:space="preserve">载板需求暴增，是受益方向。高层数 </t>
    </r>
    <r>
      <rPr>
        <sz val="10"/>
        <rFont val="Arial"/>
        <charset val="1"/>
      </rPr>
      <t xml:space="preserve">ABF </t>
    </r>
    <r>
      <rPr>
        <sz val="10"/>
        <rFont val="Noto Sans CJK SC"/>
        <family val="2"/>
      </rPr>
      <t xml:space="preserve">载板仍由揖斐电、新光、欣兴主导，国产化率约 </t>
    </r>
    <r>
      <rPr>
        <sz val="10"/>
        <rFont val="Arial"/>
        <charset val="1"/>
      </rPr>
      <t>30%</t>
    </r>
    <r>
      <rPr>
        <sz val="10"/>
        <rFont val="Noto Sans CJK SC"/>
        <family val="2"/>
      </rPr>
      <t>。</t>
    </r>
  </si>
  <si>
    <t>兴森科技</t>
  </si>
  <si>
    <t>002436.SZ</t>
  </si>
  <si>
    <r>
      <rPr>
        <sz val="10"/>
        <rFont val="Arial"/>
        <charset val="1"/>
      </rPr>
      <t xml:space="preserve">IC </t>
    </r>
    <r>
      <rPr>
        <sz val="10"/>
        <rFont val="Noto Sans CJK SC"/>
        <family val="2"/>
      </rPr>
      <t>封装基板切入者，与深南电路同赛道。差距在高层数与良率。</t>
    </r>
  </si>
  <si>
    <t>长川科技</t>
  </si>
  <si>
    <t>300604.SZ</t>
  </si>
  <si>
    <t>测试设备</t>
  </si>
  <si>
    <t>测试机与分选机。Advantest、Teradyne 双寡头，SoC 高端测试机与 HBM 测试是短板。</t>
  </si>
  <si>
    <t>华峰测控</t>
  </si>
  <si>
    <t>688200.SH</t>
  </si>
  <si>
    <t>模拟与功率测试机国内领先，是国产测试设备中壁垒较高的细分。SoC 测试仍与泰瑞达有差距。</t>
  </si>
  <si>
    <t>通富微电</t>
  </si>
  <si>
    <t>002156.SZ</t>
  </si>
  <si>
    <r>
      <rPr>
        <sz val="10"/>
        <rFont val="Arial"/>
        <charset val="1"/>
      </rPr>
      <t xml:space="preserve">AMD </t>
    </r>
    <r>
      <rPr>
        <sz val="10"/>
        <rFont val="Noto Sans CJK SC"/>
        <family val="2"/>
      </rPr>
      <t>的主要封测合作方，</t>
    </r>
    <r>
      <rPr>
        <sz val="10"/>
        <rFont val="Arial"/>
        <charset val="1"/>
      </rPr>
      <t xml:space="preserve">CPU/GPU </t>
    </r>
    <r>
      <rPr>
        <sz val="10"/>
        <rFont val="Noto Sans CJK SC"/>
        <family val="2"/>
      </rPr>
      <t xml:space="preserve">封测经验是差异化优势。先进封装能力与台积电 </t>
    </r>
    <r>
      <rPr>
        <sz val="10"/>
        <rFont val="Arial"/>
        <charset val="1"/>
      </rPr>
      <t xml:space="preserve">CoWoS </t>
    </r>
    <r>
      <rPr>
        <sz val="10"/>
        <rFont val="Noto Sans CJK SC"/>
        <family val="2"/>
      </rPr>
      <t>仍有明显差距。</t>
    </r>
  </si>
  <si>
    <t>兆易创新</t>
  </si>
  <si>
    <t>603986.SH</t>
  </si>
  <si>
    <t>利基存储</t>
  </si>
  <si>
    <r>
      <rPr>
        <sz val="10"/>
        <rFont val="Arial"/>
        <charset val="1"/>
      </rPr>
      <t xml:space="preserve">NOR Flash </t>
    </r>
    <r>
      <rPr>
        <sz val="10"/>
        <rFont val="Noto Sans CJK SC"/>
        <family val="2"/>
      </rPr>
      <t xml:space="preserve">与 </t>
    </r>
    <r>
      <rPr>
        <sz val="10"/>
        <rFont val="Arial"/>
        <charset val="1"/>
      </rPr>
      <t xml:space="preserve">MCU </t>
    </r>
    <r>
      <rPr>
        <sz val="10"/>
        <rFont val="Noto Sans CJK SC"/>
        <family val="2"/>
      </rPr>
      <t xml:space="preserve">为主，对标华邦、旺宏、英飞凌。不是三星、海力士意义上的主流大宗 </t>
    </r>
    <r>
      <rPr>
        <sz val="10"/>
        <rFont val="Arial"/>
        <charset val="1"/>
      </rPr>
      <t xml:space="preserve">DRAM </t>
    </r>
    <r>
      <rPr>
        <sz val="10"/>
        <rFont val="Noto Sans CJK SC"/>
        <family val="2"/>
      </rPr>
      <t>厂商，与长鑫不在同一价值层级。</t>
    </r>
  </si>
  <si>
    <t>摩尔线程</t>
  </si>
  <si>
    <t>688795.SH</t>
  </si>
  <si>
    <t>2026H1 +147.42%</t>
  </si>
  <si>
    <r>
      <rPr>
        <sz val="10"/>
        <rFont val="Arial"/>
        <charset val="1"/>
      </rPr>
      <t xml:space="preserve">2026H1 </t>
    </r>
    <r>
      <rPr>
        <sz val="10"/>
        <rFont val="Noto Sans CJK SC"/>
        <family val="2"/>
      </rPr>
      <t xml:space="preserve">营收 </t>
    </r>
    <r>
      <rPr>
        <sz val="10"/>
        <rFont val="Arial"/>
        <charset val="1"/>
      </rPr>
      <t xml:space="preserve">17.36 </t>
    </r>
    <r>
      <rPr>
        <sz val="10"/>
        <rFont val="Noto Sans CJK SC"/>
        <family val="2"/>
      </rPr>
      <t xml:space="preserve">亿、毛利 </t>
    </r>
    <r>
      <rPr>
        <sz val="10"/>
        <rFont val="Arial"/>
        <charset val="1"/>
      </rPr>
      <t xml:space="preserve">9.89 </t>
    </r>
    <r>
      <rPr>
        <sz val="10"/>
        <rFont val="Noto Sans CJK SC"/>
        <family val="2"/>
      </rPr>
      <t>亿（</t>
    </r>
    <r>
      <rPr>
        <sz val="10"/>
        <rFont val="Arial"/>
        <charset val="1"/>
      </rPr>
      <t>+103.78%</t>
    </r>
    <r>
      <rPr>
        <sz val="10"/>
        <rFont val="Noto Sans CJK SC"/>
        <family val="2"/>
      </rPr>
      <t xml:space="preserve">），已超 </t>
    </r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全年。国产 </t>
    </r>
    <r>
      <rPr>
        <sz val="10"/>
        <rFont val="Arial"/>
        <charset val="1"/>
      </rPr>
      <t xml:space="preserve">GPU </t>
    </r>
    <r>
      <rPr>
        <sz val="10"/>
        <rFont val="Noto Sans CJK SC"/>
        <family val="2"/>
      </rPr>
      <t>第一股。与英伟达差距同样集中在制程、</t>
    </r>
    <r>
      <rPr>
        <sz val="10"/>
        <rFont val="Arial"/>
        <charset val="1"/>
      </rPr>
      <t xml:space="preserve">HBM </t>
    </r>
    <r>
      <rPr>
        <sz val="10"/>
        <rFont val="Noto Sans CJK SC"/>
        <family val="2"/>
      </rPr>
      <t>与生态；相对昇腾的差距在客户规模与集群验证。</t>
    </r>
  </si>
  <si>
    <t>沐曦股份</t>
  </si>
  <si>
    <t>688802.SH</t>
  </si>
  <si>
    <t>国产 GPU 四小龙之一，上市首日 +692.95%。六份原始回答全部遗漏此公司。技术差距与摩尔线程类似，估值同样已充分反映预期。</t>
  </si>
  <si>
    <t>壁仞科技</t>
  </si>
  <si>
    <t>06082.HK</t>
  </si>
  <si>
    <t>港股 GPU 第一股，18C 机制下最大规模新股（募资 55.83 亿港元）。差距同上。港股上市使其成为境外资金可直接参与的国产 GPU 标的。</t>
  </si>
  <si>
    <t>龙芯中科</t>
  </si>
  <si>
    <t>688047.SH</t>
  </si>
  <si>
    <t>CPU</t>
  </si>
  <si>
    <r>
      <rPr>
        <sz val="10"/>
        <rFont val="Arial"/>
        <charset val="1"/>
      </rPr>
      <t xml:space="preserve">LoongArch </t>
    </r>
    <r>
      <rPr>
        <sz val="10"/>
        <rFont val="Noto Sans CJK SC"/>
        <family val="2"/>
      </rPr>
      <t xml:space="preserve">自主指令集，自主度最高但生态最小——与海光的 </t>
    </r>
    <r>
      <rPr>
        <sz val="10"/>
        <rFont val="Arial"/>
        <charset val="1"/>
      </rPr>
      <t xml:space="preserve">x86 </t>
    </r>
    <r>
      <rPr>
        <sz val="10"/>
        <rFont val="Noto Sans CJK SC"/>
        <family val="2"/>
      </rPr>
      <t xml:space="preserve">兼容路线是两种权衡。性能与 </t>
    </r>
    <r>
      <rPr>
        <sz val="10"/>
        <rFont val="Arial"/>
        <charset val="1"/>
      </rPr>
      <t xml:space="preserve">Intel/AMD </t>
    </r>
    <r>
      <rPr>
        <sz val="10"/>
        <rFont val="Noto Sans CJK SC"/>
        <family val="2"/>
      </rPr>
      <t>主流产品有明显代差。</t>
    </r>
  </si>
  <si>
    <t>新易盛</t>
  </si>
  <si>
    <t>300502.SZ</t>
  </si>
  <si>
    <t>⚠ 谨慎层。技术上与海外无代差，但同样高度依赖北美云厂商资本开支，属全球 AI capex 链而非国产自主可控链。</t>
  </si>
  <si>
    <t>浪潮信息</t>
  </si>
  <si>
    <t>000977.SZ</t>
  </si>
  <si>
    <r>
      <rPr>
        <sz val="10"/>
        <rFont val="Arial"/>
        <charset val="1"/>
      </rPr>
      <t xml:space="preserve">AI </t>
    </r>
    <r>
      <rPr>
        <sz val="10"/>
        <rFont val="Noto Sans CJK SC"/>
        <family val="2"/>
      </rPr>
      <t>服务器</t>
    </r>
  </si>
  <si>
    <t>整机集成环节，技术壁垒相对低、利润率薄。对标戴尔、慧与、超微，差距不在技术而在供应链议价与全球渠道。</t>
  </si>
  <si>
    <t>工业富联</t>
  </si>
  <si>
    <t>601138.SH</t>
  </si>
  <si>
    <t>服务器代工</t>
  </si>
  <si>
    <t>⚠ 组装集成，利润率低且受地缘博弈影响。营收含大量非 AI 业务，用整体营收算 AI 份额会严重高估。</t>
  </si>
  <si>
    <t>达梦数据</t>
  </si>
  <si>
    <t>688692.SH</t>
  </si>
  <si>
    <t>数据库</t>
  </si>
  <si>
    <t>党政与金融信创场景已形成规模，商业市场仍由 Oracle 主导。差距在生态而非功能：迁移成本、第三方软件兼容、开发者规模。</t>
  </si>
  <si>
    <t>中控技术</t>
  </si>
  <si>
    <t>688777.SH</t>
  </si>
  <si>
    <t>工业软件</t>
  </si>
  <si>
    <r>
      <rPr>
        <sz val="10"/>
        <rFont val="Arial"/>
        <charset val="1"/>
      </rPr>
      <t xml:space="preserve">DCS </t>
    </r>
    <r>
      <rPr>
        <sz val="10"/>
        <rFont val="Noto Sans CJK SC"/>
        <family val="2"/>
      </rPr>
      <t>国内领先，与霍尼韦尔、艾默生、罗克韦尔的差距在高端流程行业的可靠性积累与全球案例库。</t>
    </r>
  </si>
  <si>
    <t>上海微电子 SMEE</t>
  </si>
  <si>
    <t>全表差距最大的一家。SSA800 28nm 浸没式 DUV 2026 年初交付中芯上机测试，良率超 90%、国产化率超 85%，可支持 7nm 多重曝光——这是真进展。但产能 10 片/小时 vs ASML 170 片/小时，EUV 无产品，业界估计代差约 8 年。母公司短期无上市计划，分拆芯上微装拟 2027 报科创板。</t>
  </si>
  <si>
    <t>彤程新材</t>
  </si>
  <si>
    <t>603650.SH</t>
  </si>
  <si>
    <t>半导体光刻胶整体国产化率 &lt;10%，KrF 仅 10%、ArF 2%、EUV 研发阶段。这是材料端分层最陡峭、差距最大的一格。</t>
  </si>
  <si>
    <t>晶瑞电材</t>
  </si>
  <si>
    <t>300655.SZ</t>
  </si>
  <si>
    <t>同上。g/i 线光刻胶国产化率 30% 尚可，KrF/ArF 及以上差距显著。</t>
  </si>
  <si>
    <t>芯华章</t>
  </si>
  <si>
    <t>验证 EDA 切入。国产 EDA 工艺支撑停在 14nm，数字先进节点全流程空白，是软件端最难补的缺口。</t>
  </si>
  <si>
    <t>价值链</t>
  </si>
  <si>
    <t>生态位类型</t>
  </si>
  <si>
    <t>市场规模</t>
  </si>
  <si>
    <t>单位</t>
  </si>
  <si>
    <r>
      <rPr>
        <b/>
        <sz val="10"/>
        <color rgb="FFFFFFFF"/>
        <rFont val="Noto Sans CJK SC"/>
        <family val="2"/>
      </rPr>
      <t>利润率</t>
    </r>
    <r>
      <rPr>
        <b/>
        <sz val="10"/>
        <color rgb="FFFFFFFF"/>
        <rFont val="Arial"/>
        <charset val="1"/>
      </rPr>
      <t>(%)</t>
    </r>
  </si>
  <si>
    <t>利润率口径</t>
  </si>
  <si>
    <t>利润池</t>
  </si>
  <si>
    <t>代表海外玩家</t>
  </si>
  <si>
    <t>代表国产玩家</t>
  </si>
  <si>
    <t>说明</t>
  </si>
  <si>
    <t>全球</t>
  </si>
  <si>
    <r>
      <rPr>
        <sz val="10"/>
        <rFont val="Arial"/>
        <charset val="1"/>
      </rPr>
      <t xml:space="preserve">EDA / </t>
    </r>
    <r>
      <rPr>
        <sz val="10"/>
        <rFont val="Noto Sans CJK SC"/>
        <family val="2"/>
      </rPr>
      <t xml:space="preserve">半导体 </t>
    </r>
    <r>
      <rPr>
        <sz val="10"/>
        <rFont val="Arial"/>
        <charset val="1"/>
      </rPr>
      <t>IP</t>
    </r>
  </si>
  <si>
    <t>垄断型高利润</t>
  </si>
  <si>
    <t>亿美元</t>
  </si>
  <si>
    <t>毛利率</t>
  </si>
  <si>
    <t>Synopsys / Cadence / Siemens EDA / Arm</t>
  </si>
  <si>
    <r>
      <rPr>
        <sz val="10"/>
        <rFont val="Noto Sans CJK SC"/>
        <family val="2"/>
      </rPr>
      <t xml:space="preserve">华大九天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概伦电子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芯原</t>
    </r>
  </si>
  <si>
    <r>
      <rPr>
        <sz val="10"/>
        <rFont val="Arial"/>
        <charset val="1"/>
      </rPr>
      <t xml:space="preserve">Synopsys 32% + Cadence 23% + Siemens 14% = </t>
    </r>
    <r>
      <rPr>
        <sz val="10"/>
        <rFont val="Noto Sans CJK SC"/>
        <family val="2"/>
      </rPr>
      <t xml:space="preserve">全球 </t>
    </r>
    <r>
      <rPr>
        <sz val="10"/>
        <rFont val="Arial"/>
        <charset val="1"/>
      </rPr>
      <t>69%</t>
    </r>
    <r>
      <rPr>
        <sz val="10"/>
        <rFont val="Noto Sans CJK SC"/>
        <family val="2"/>
      </rPr>
      <t>。市场规模在整条链里最小，利润率却最高——软件模式加数十年工艺库积累，是典型的「小池子、深水位」。</t>
    </r>
  </si>
  <si>
    <t>ASML / AMAT / Lam / KLA / TEL</t>
  </si>
  <si>
    <r>
      <rPr>
        <sz val="10"/>
        <rFont val="Noto Sans CJK SC"/>
        <family val="2"/>
      </rPr>
      <t xml:space="preserve">北方华创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中微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拓荆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盛美</t>
    </r>
  </si>
  <si>
    <r>
      <rPr>
        <sz val="10"/>
        <rFont val="Arial"/>
        <charset val="1"/>
      </rPr>
      <t xml:space="preserve">ASML </t>
    </r>
    <r>
      <rPr>
        <sz val="10"/>
        <rFont val="Noto Sans CJK SC"/>
        <family val="2"/>
      </rPr>
      <t xml:space="preserve">毛利率 </t>
    </r>
    <r>
      <rPr>
        <sz val="10"/>
        <rFont val="Arial"/>
        <charset val="1"/>
      </rPr>
      <t>53%</t>
    </r>
    <r>
      <rPr>
        <sz val="10"/>
        <rFont val="Noto Sans CJK SC"/>
        <family val="2"/>
      </rPr>
      <t xml:space="preserve">，在 </t>
    </r>
    <r>
      <rPr>
        <sz val="10"/>
        <rFont val="Arial"/>
        <charset val="1"/>
      </rPr>
      <t xml:space="preserve">EUV </t>
    </r>
    <r>
      <rPr>
        <sz val="10"/>
        <rFont val="Noto Sans CJK SC"/>
        <family val="2"/>
      </rPr>
      <t>上是全球唯一供应商。</t>
    </r>
    <r>
      <rPr>
        <sz val="10"/>
        <rFont val="Arial"/>
        <charset val="1"/>
      </rPr>
      <t>AMAT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>Lam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>KLA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 xml:space="preserve">TEL </t>
    </r>
    <r>
      <rPr>
        <sz val="10"/>
        <rFont val="Noto Sans CJK SC"/>
        <family val="2"/>
      </rPr>
      <t xml:space="preserve">各自在细分环节接近垄断。光刻 </t>
    </r>
    <r>
      <rPr>
        <sz val="10"/>
        <rFont val="Arial"/>
        <charset val="1"/>
      </rPr>
      <t xml:space="preserve">338 </t>
    </r>
    <r>
      <rPr>
        <sz val="10"/>
        <rFont val="Noto Sans CJK SC"/>
        <family val="2"/>
      </rPr>
      <t xml:space="preserve">亿、薄膜沉积 </t>
    </r>
    <r>
      <rPr>
        <sz val="10"/>
        <rFont val="Arial"/>
        <charset val="1"/>
      </rPr>
      <t xml:space="preserve">282 </t>
    </r>
    <r>
      <rPr>
        <sz val="10"/>
        <rFont val="Noto Sans CJK SC"/>
        <family val="2"/>
      </rPr>
      <t xml:space="preserve">亿、刻蚀 </t>
    </r>
    <r>
      <rPr>
        <sz val="10"/>
        <rFont val="Arial"/>
        <charset val="1"/>
      </rPr>
      <t xml:space="preserve">226 </t>
    </r>
    <r>
      <rPr>
        <sz val="10"/>
        <rFont val="Noto Sans CJK SC"/>
        <family val="2"/>
      </rPr>
      <t>亿合计占前道六成以上。</t>
    </r>
  </si>
  <si>
    <t>半导体材料</t>
  </si>
  <si>
    <t>薄利环节</t>
  </si>
  <si>
    <r>
      <rPr>
        <sz val="10"/>
        <rFont val="Noto Sans CJK SC"/>
        <family val="2"/>
      </rPr>
      <t xml:space="preserve">信越 </t>
    </r>
    <r>
      <rPr>
        <sz val="10"/>
        <rFont val="Arial"/>
        <charset val="1"/>
      </rPr>
      <t xml:space="preserve">/ SUMCO / JSR / Entegris / </t>
    </r>
    <r>
      <rPr>
        <sz val="10"/>
        <rFont val="Noto Sans CJK SC"/>
        <family val="2"/>
      </rPr>
      <t>默克</t>
    </r>
  </si>
  <si>
    <r>
      <rPr>
        <sz val="10"/>
        <rFont val="Noto Sans CJK SC"/>
        <family val="2"/>
      </rPr>
      <t xml:space="preserve">沪硅产业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南大光电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江丰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安集</t>
    </r>
  </si>
  <si>
    <r>
      <rPr>
        <sz val="10"/>
        <rFont val="Noto Sans CJK SC"/>
        <family val="2"/>
      </rPr>
      <t xml:space="preserve">晶圆制造材料 </t>
    </r>
    <r>
      <rPr>
        <sz val="10"/>
        <rFont val="Arial"/>
        <charset val="1"/>
      </rPr>
      <t xml:space="preserve">458 </t>
    </r>
    <r>
      <rPr>
        <sz val="10"/>
        <rFont val="Noto Sans CJK SC"/>
        <family val="2"/>
      </rPr>
      <t xml:space="preserve">亿加封装材料 </t>
    </r>
    <r>
      <rPr>
        <sz val="10"/>
        <rFont val="Arial"/>
        <charset val="1"/>
      </rPr>
      <t xml:space="preserve">274 </t>
    </r>
    <r>
      <rPr>
        <sz val="10"/>
        <rFont val="Noto Sans CJK SC"/>
        <family val="2"/>
      </rPr>
      <t>亿。单个品类规模小、认证周期长、利润率中等——壁垒真实但天花板明确。</t>
    </r>
  </si>
  <si>
    <r>
      <rPr>
        <sz val="10"/>
        <rFont val="Arial"/>
        <charset val="1"/>
      </rPr>
      <t xml:space="preserve">TSMC / </t>
    </r>
    <r>
      <rPr>
        <sz val="10"/>
        <rFont val="Noto Sans CJK SC"/>
        <family val="2"/>
      </rPr>
      <t xml:space="preserve">三星代工 </t>
    </r>
    <r>
      <rPr>
        <sz val="10"/>
        <rFont val="Arial"/>
        <charset val="1"/>
      </rPr>
      <t>/ Intel Foundry</t>
    </r>
  </si>
  <si>
    <r>
      <rPr>
        <sz val="10"/>
        <rFont val="Noto Sans CJK SC"/>
        <family val="2"/>
      </rPr>
      <t xml:space="preserve">中芯国际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华虹</t>
    </r>
  </si>
  <si>
    <r>
      <rPr>
        <sz val="10"/>
        <rFont val="Noto Sans CJK SC"/>
        <family val="2"/>
      </rPr>
      <t xml:space="preserve">台积电毛利率 </t>
    </r>
    <r>
      <rPr>
        <sz val="10"/>
        <rFont val="Arial"/>
        <charset val="1"/>
      </rPr>
      <t>62.3–66%</t>
    </r>
    <r>
      <rPr>
        <sz val="10"/>
        <rFont val="Noto Sans CJK SC"/>
        <family val="2"/>
      </rPr>
      <t>，在重资产行业里是异常值。</t>
    </r>
    <r>
      <rPr>
        <sz val="10"/>
        <rFont val="Arial"/>
        <charset val="1"/>
      </rPr>
      <t xml:space="preserve">CoWoS </t>
    </r>
    <r>
      <rPr>
        <sz val="10"/>
        <rFont val="Noto Sans CJK SC"/>
        <family val="2"/>
      </rPr>
      <t xml:space="preserve">与 </t>
    </r>
    <r>
      <rPr>
        <sz val="10"/>
        <rFont val="Arial"/>
        <charset val="1"/>
      </rPr>
      <t xml:space="preserve">SoIC </t>
    </r>
    <r>
      <rPr>
        <sz val="10"/>
        <rFont val="Noto Sans CJK SC"/>
        <family val="2"/>
      </rPr>
      <t xml:space="preserve">先进封装产能已订满至 </t>
    </r>
    <r>
      <rPr>
        <sz val="10"/>
        <rFont val="Arial"/>
        <charset val="1"/>
      </rPr>
      <t xml:space="preserve">2026 </t>
    </r>
    <r>
      <rPr>
        <sz val="10"/>
        <rFont val="Noto Sans CJK SC"/>
        <family val="2"/>
      </rPr>
      <t xml:space="preserve">年——这是当前 </t>
    </r>
    <r>
      <rPr>
        <sz val="10"/>
        <rFont val="Arial"/>
        <charset val="1"/>
      </rPr>
      <t xml:space="preserve">AI </t>
    </r>
    <r>
      <rPr>
        <sz val="10"/>
        <rFont val="Noto Sans CJK SC"/>
        <family val="2"/>
      </rPr>
      <t>芯片最硬的物理瓶颈之一。</t>
    </r>
  </si>
  <si>
    <r>
      <rPr>
        <sz val="10"/>
        <rFont val="Arial"/>
        <charset val="1"/>
      </rPr>
      <t xml:space="preserve">HBM / </t>
    </r>
    <r>
      <rPr>
        <sz val="10"/>
        <rFont val="Noto Sans CJK SC"/>
        <family val="2"/>
      </rPr>
      <t>存储</t>
    </r>
  </si>
  <si>
    <t>周期性紧缺黑马</t>
  </si>
  <si>
    <t>营业利润率</t>
  </si>
  <si>
    <r>
      <rPr>
        <sz val="10"/>
        <rFont val="Arial"/>
        <charset val="1"/>
      </rPr>
      <t>SK</t>
    </r>
    <r>
      <rPr>
        <sz val="10"/>
        <rFont val="Noto Sans CJK SC"/>
        <family val="2"/>
      </rPr>
      <t xml:space="preserve">海力士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三星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美光</t>
    </r>
  </si>
  <si>
    <r>
      <rPr>
        <sz val="10"/>
        <rFont val="Noto Sans CJK SC"/>
        <family val="2"/>
      </rPr>
      <t xml:space="preserve">长鑫科技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长江存储</t>
    </r>
  </si>
  <si>
    <r>
      <rPr>
        <sz val="10"/>
        <rFont val="Arial"/>
        <charset val="1"/>
      </rPr>
      <t xml:space="preserve">2026 </t>
    </r>
    <r>
      <rPr>
        <sz val="10"/>
        <rFont val="Noto Sans CJK SC"/>
        <family val="2"/>
      </rPr>
      <t>年整条链利润率最高的环节。</t>
    </r>
    <r>
      <rPr>
        <sz val="10"/>
        <rFont val="Arial"/>
        <charset val="1"/>
      </rPr>
      <t xml:space="preserve">SK </t>
    </r>
    <r>
      <rPr>
        <sz val="10"/>
        <rFont val="Noto Sans CJK SC"/>
        <family val="2"/>
      </rPr>
      <t xml:space="preserve">海力士 </t>
    </r>
    <r>
      <rPr>
        <sz val="10"/>
        <rFont val="Arial"/>
        <charset val="1"/>
      </rPr>
      <t xml:space="preserve">Q2 </t>
    </r>
    <r>
      <rPr>
        <sz val="10"/>
        <rFont val="Noto Sans CJK SC"/>
        <family val="2"/>
      </rPr>
      <t xml:space="preserve">营收 </t>
    </r>
    <r>
      <rPr>
        <sz val="10"/>
        <rFont val="Arial"/>
        <charset val="1"/>
      </rPr>
      <t xml:space="preserve">79.32 </t>
    </r>
    <r>
      <rPr>
        <sz val="10"/>
        <rFont val="Noto Sans CJK SC"/>
        <family val="2"/>
      </rPr>
      <t xml:space="preserve">万亿韩元、营业利润 </t>
    </r>
    <r>
      <rPr>
        <sz val="10"/>
        <rFont val="Arial"/>
        <charset val="1"/>
      </rPr>
      <t xml:space="preserve">60.54 </t>
    </r>
    <r>
      <rPr>
        <sz val="10"/>
        <rFont val="Noto Sans CJK SC"/>
        <family val="2"/>
      </rPr>
      <t xml:space="preserve">万亿韩元，营业利润率 </t>
    </r>
    <r>
      <rPr>
        <sz val="10"/>
        <rFont val="Arial"/>
        <charset val="1"/>
      </rPr>
      <t>76%</t>
    </r>
    <r>
      <rPr>
        <sz val="10"/>
        <rFont val="Noto Sans CJK SC"/>
        <family val="2"/>
      </rPr>
      <t>（</t>
    </r>
    <r>
      <rPr>
        <sz val="10"/>
        <rFont val="Arial"/>
        <charset val="1"/>
      </rPr>
      <t xml:space="preserve">Q1 </t>
    </r>
    <r>
      <rPr>
        <sz val="10"/>
        <rFont val="Noto Sans CJK SC"/>
        <family val="2"/>
      </rPr>
      <t xml:space="preserve">为 </t>
    </r>
    <r>
      <rPr>
        <sz val="10"/>
        <rFont val="Arial"/>
        <charset val="1"/>
      </rPr>
      <t>72%</t>
    </r>
    <r>
      <rPr>
        <sz val="10"/>
        <rFont val="Noto Sans CJK SC"/>
        <family val="2"/>
      </rPr>
      <t>）。</t>
    </r>
    <r>
      <rPr>
        <sz val="10"/>
        <rFont val="Arial"/>
        <charset val="1"/>
      </rPr>
      <t xml:space="preserve">HBM </t>
    </r>
    <r>
      <rPr>
        <sz val="10"/>
        <rFont val="Noto Sans CJK SC"/>
        <family val="2"/>
      </rPr>
      <t xml:space="preserve">全球份额超 </t>
    </r>
    <r>
      <rPr>
        <sz val="10"/>
        <rFont val="Arial"/>
        <charset val="1"/>
      </rPr>
      <t>70%</t>
    </r>
    <r>
      <rPr>
        <sz val="10"/>
        <rFont val="Noto Sans CJK SC"/>
        <family val="2"/>
      </rPr>
      <t xml:space="preserve">，占其 </t>
    </r>
    <r>
      <rPr>
        <sz val="10"/>
        <rFont val="Arial"/>
        <charset val="1"/>
      </rPr>
      <t xml:space="preserve">DRAM </t>
    </r>
    <r>
      <rPr>
        <sz val="10"/>
        <rFont val="Noto Sans CJK SC"/>
        <family val="2"/>
      </rPr>
      <t xml:space="preserve">收入约 </t>
    </r>
    <r>
      <rPr>
        <sz val="10"/>
        <rFont val="Arial"/>
        <charset val="1"/>
      </rPr>
      <t>42%</t>
    </r>
    <r>
      <rPr>
        <sz val="10"/>
        <rFont val="Noto Sans CJK SC"/>
        <family val="2"/>
      </rPr>
      <t xml:space="preserve">。三星 </t>
    </r>
    <r>
      <rPr>
        <sz val="10"/>
        <rFont val="Arial"/>
        <charset val="1"/>
      </rPr>
      <t>35–40%</t>
    </r>
    <r>
      <rPr>
        <sz val="10"/>
        <rFont val="Noto Sans CJK SC"/>
        <family val="2"/>
      </rPr>
      <t xml:space="preserve">、美光 </t>
    </r>
    <r>
      <rPr>
        <sz val="10"/>
        <rFont val="Arial"/>
        <charset val="1"/>
      </rPr>
      <t>5–10%</t>
    </r>
    <r>
      <rPr>
        <sz val="10"/>
        <rFont val="Noto Sans CJK SC"/>
        <family val="2"/>
      </rPr>
      <t>。</t>
    </r>
  </si>
  <si>
    <t>NVIDIA / AMD / Google TPU / Broadcom ASIC</t>
  </si>
  <si>
    <r>
      <rPr>
        <sz val="10"/>
        <rFont val="Noto Sans CJK SC"/>
        <family val="2"/>
      </rPr>
      <t xml:space="preserve">华为昇腾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寒武纪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海光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摩尔线程</t>
    </r>
  </si>
  <si>
    <r>
      <rPr>
        <sz val="10"/>
        <rFont val="Noto Sans CJK SC"/>
        <family val="2"/>
      </rPr>
      <t xml:space="preserve">英伟达毛利率 </t>
    </r>
    <r>
      <rPr>
        <sz val="10"/>
        <rFont val="Arial"/>
        <charset val="1"/>
      </rPr>
      <t>75%</t>
    </r>
    <r>
      <rPr>
        <sz val="10"/>
        <rFont val="Noto Sans CJK SC"/>
        <family val="2"/>
      </rPr>
      <t xml:space="preserve">（非 </t>
    </r>
    <r>
      <rPr>
        <sz val="10"/>
        <rFont val="Arial"/>
        <charset val="1"/>
      </rPr>
      <t>GAAP</t>
    </r>
    <r>
      <rPr>
        <sz val="10"/>
        <rFont val="Noto Sans CJK SC"/>
        <family val="2"/>
      </rPr>
      <t xml:space="preserve">），全球份额超 </t>
    </r>
    <r>
      <rPr>
        <sz val="10"/>
        <rFont val="Arial"/>
        <charset val="1"/>
      </rPr>
      <t>80%</t>
    </r>
    <r>
      <rPr>
        <sz val="10"/>
        <rFont val="Noto Sans CJK SC"/>
        <family val="2"/>
      </rPr>
      <t xml:space="preserve">。利润来源不是硅片而是 </t>
    </r>
    <r>
      <rPr>
        <sz val="10"/>
        <rFont val="Arial"/>
        <charset val="1"/>
      </rPr>
      <t>CUDA——</t>
    </r>
    <r>
      <rPr>
        <sz val="10"/>
        <rFont val="Noto Sans CJK SC"/>
        <family val="2"/>
      </rPr>
      <t>软件生态让客户的迁移成本远高于换一块卡的价差。这是整条链最大的单一利润池。</t>
    </r>
  </si>
  <si>
    <r>
      <rPr>
        <sz val="10"/>
        <rFont val="Noto Sans CJK SC"/>
        <family val="2"/>
      </rPr>
      <t xml:space="preserve">网络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交换</t>
    </r>
  </si>
  <si>
    <t>Broadcom / Arista / Cisco / NVIDIA NVLink</t>
  </si>
  <si>
    <r>
      <rPr>
        <sz val="10"/>
        <rFont val="Noto Sans CJK SC"/>
        <family val="2"/>
      </rPr>
      <t xml:space="preserve">中兴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锐捷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新华三</t>
    </r>
  </si>
  <si>
    <r>
      <rPr>
        <sz val="10"/>
        <rFont val="Arial"/>
        <charset val="1"/>
      </rPr>
      <t>Arista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 xml:space="preserve">Broadcom </t>
    </r>
    <r>
      <rPr>
        <sz val="10"/>
        <rFont val="Noto Sans CJK SC"/>
        <family val="2"/>
      </rPr>
      <t xml:space="preserve">毛利率 </t>
    </r>
    <r>
      <rPr>
        <sz val="10"/>
        <rFont val="Arial"/>
        <charset val="1"/>
      </rPr>
      <t>62–77%</t>
    </r>
    <r>
      <rPr>
        <sz val="10"/>
        <rFont val="Noto Sans CJK SC"/>
        <family val="2"/>
      </rPr>
      <t xml:space="preserve">。集群规模越大，网络在总成本中占比越高，是 </t>
    </r>
    <r>
      <rPr>
        <sz val="10"/>
        <rFont val="Arial"/>
        <charset val="1"/>
      </rPr>
      <t xml:space="preserve">AI </t>
    </r>
    <r>
      <rPr>
        <sz val="10"/>
        <rFont val="Noto Sans CJK SC"/>
        <family val="2"/>
      </rPr>
      <t>训练从单机走向万卡集群后被重估的环节。</t>
    </r>
  </si>
  <si>
    <r>
      <rPr>
        <sz val="10"/>
        <rFont val="Noto Sans CJK SC"/>
        <family val="2"/>
      </rPr>
      <t xml:space="preserve">光模块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光互联</t>
    </r>
  </si>
  <si>
    <t>Coherent / Lumentum / Marvell</t>
  </si>
  <si>
    <r>
      <rPr>
        <sz val="10"/>
        <rFont val="Noto Sans CJK SC"/>
        <family val="2"/>
      </rPr>
      <t xml:space="preserve">中际旭创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新易盛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天孚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光迅</t>
    </r>
  </si>
  <si>
    <r>
      <rPr>
        <sz val="10"/>
        <rFont val="Noto Sans CJK SC"/>
        <family val="2"/>
      </rPr>
      <t xml:space="preserve">中国主导的唯一全球第一环节。中际旭创全球 </t>
    </r>
    <r>
      <rPr>
        <sz val="10"/>
        <rFont val="Arial"/>
        <charset val="1"/>
      </rPr>
      <t>23.4–27%</t>
    </r>
    <r>
      <rPr>
        <sz val="10"/>
        <rFont val="Noto Sans CJK SC"/>
        <family val="2"/>
      </rPr>
      <t>，</t>
    </r>
    <r>
      <rPr>
        <sz val="10"/>
        <rFont val="Arial"/>
        <charset val="1"/>
      </rPr>
      <t xml:space="preserve">800G </t>
    </r>
    <r>
      <rPr>
        <sz val="10"/>
        <rFont val="Noto Sans CJK SC"/>
        <family val="2"/>
      </rPr>
      <t xml:space="preserve">超 </t>
    </r>
    <r>
      <rPr>
        <sz val="10"/>
        <rFont val="Arial"/>
        <charset val="1"/>
      </rPr>
      <t>40%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 xml:space="preserve">1.6T </t>
    </r>
    <r>
      <rPr>
        <sz val="10"/>
        <rFont val="Noto Sans CJK SC"/>
        <family val="2"/>
      </rPr>
      <t xml:space="preserve">达 </t>
    </r>
    <r>
      <rPr>
        <sz val="10"/>
        <rFont val="Arial"/>
        <charset val="1"/>
      </rPr>
      <t>50–70%</t>
    </r>
    <r>
      <rPr>
        <sz val="10"/>
        <rFont val="Noto Sans CJK SC"/>
        <family val="2"/>
      </rPr>
      <t>。</t>
    </r>
    <r>
      <rPr>
        <sz val="10"/>
        <rFont val="Arial"/>
        <charset val="1"/>
      </rPr>
      <t xml:space="preserve">2026Q1 </t>
    </r>
    <r>
      <rPr>
        <sz val="10"/>
        <rFont val="Noto Sans CJK SC"/>
        <family val="2"/>
      </rPr>
      <t xml:space="preserve">营收 </t>
    </r>
    <r>
      <rPr>
        <sz val="10"/>
        <rFont val="Arial"/>
        <charset val="1"/>
      </rPr>
      <t xml:space="preserve">195 </t>
    </r>
    <r>
      <rPr>
        <sz val="10"/>
        <rFont val="Noto Sans CJK SC"/>
        <family val="2"/>
      </rPr>
      <t>亿元（</t>
    </r>
    <r>
      <rPr>
        <sz val="10"/>
        <rFont val="Arial"/>
        <charset val="1"/>
      </rPr>
      <t>+192%</t>
    </r>
    <r>
      <rPr>
        <sz val="10"/>
        <rFont val="Noto Sans CJK SC"/>
        <family val="2"/>
      </rPr>
      <t xml:space="preserve">）、净利 </t>
    </r>
    <r>
      <rPr>
        <sz val="10"/>
        <rFont val="Arial"/>
        <charset val="1"/>
      </rPr>
      <t xml:space="preserve">57 </t>
    </r>
    <r>
      <rPr>
        <sz val="10"/>
        <rFont val="Noto Sans CJK SC"/>
        <family val="2"/>
      </rPr>
      <t>亿元（</t>
    </r>
    <r>
      <rPr>
        <sz val="10"/>
        <rFont val="Arial"/>
        <charset val="1"/>
      </rPr>
      <t>+262%</t>
    </r>
    <r>
      <rPr>
        <sz val="10"/>
        <rFont val="Noto Sans CJK SC"/>
        <family val="2"/>
      </rPr>
      <t xml:space="preserve">）。风险是美国 </t>
    </r>
    <r>
      <rPr>
        <sz val="10"/>
        <rFont val="Arial"/>
        <charset val="1"/>
      </rPr>
      <t xml:space="preserve">FCC </t>
    </r>
    <r>
      <rPr>
        <sz val="10"/>
        <rFont val="Noto Sans CJK SC"/>
        <family val="2"/>
      </rPr>
      <t>正讨论禁止中国产光模块。</t>
    </r>
  </si>
  <si>
    <t>电力设备</t>
  </si>
  <si>
    <t>未来可能兴起</t>
  </si>
  <si>
    <t>Eaton / Schneider / Vertiv / GE Vernova / Caterpillar</t>
  </si>
  <si>
    <r>
      <rPr>
        <sz val="10"/>
        <rFont val="Noto Sans CJK SC"/>
        <family val="2"/>
      </rPr>
      <t xml:space="preserve">科华数据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中恒电气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英维克</t>
    </r>
  </si>
  <si>
    <r>
      <rPr>
        <sz val="10"/>
        <rFont val="Noto Sans CJK SC"/>
        <family val="2"/>
      </rPr>
      <t xml:space="preserve">正在成为新瓶颈。变压器交期约 </t>
    </r>
    <r>
      <rPr>
        <sz val="10"/>
        <rFont val="Arial"/>
        <charset val="1"/>
      </rPr>
      <t xml:space="preserve">128 </t>
    </r>
    <r>
      <rPr>
        <sz val="10"/>
        <rFont val="Noto Sans CJK SC"/>
        <family val="2"/>
      </rPr>
      <t xml:space="preserve">周、发电机升压机组约 </t>
    </r>
    <r>
      <rPr>
        <sz val="10"/>
        <rFont val="Arial"/>
        <charset val="1"/>
      </rPr>
      <t xml:space="preserve">144 </t>
    </r>
    <r>
      <rPr>
        <sz val="10"/>
        <rFont val="Noto Sans CJK SC"/>
        <family val="2"/>
      </rPr>
      <t xml:space="preserve">周，高容量机组排到四到五年后。已宣布 </t>
    </r>
    <r>
      <rPr>
        <sz val="10"/>
        <rFont val="Arial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charset val="1"/>
      </rPr>
      <t xml:space="preserve">16GW </t>
    </r>
    <r>
      <rPr>
        <sz val="10"/>
        <rFont val="Noto Sans CJK SC"/>
        <family val="2"/>
      </rPr>
      <t xml:space="preserve">中仅约 </t>
    </r>
    <r>
      <rPr>
        <sz val="10"/>
        <rFont val="Arial"/>
        <charset val="1"/>
      </rPr>
      <t xml:space="preserve">5GW </t>
    </r>
    <r>
      <rPr>
        <sz val="10"/>
        <rFont val="Noto Sans CJK SC"/>
        <family val="2"/>
      </rPr>
      <t>在建，</t>
    </r>
    <r>
      <rPr>
        <sz val="10"/>
        <rFont val="Arial"/>
        <charset val="1"/>
      </rPr>
      <t xml:space="preserve">30–50% </t>
    </r>
    <r>
      <rPr>
        <sz val="10"/>
        <rFont val="Noto Sans CJK SC"/>
        <family val="2"/>
      </rPr>
      <t xml:space="preserve">管道面临延期。美国市场 </t>
    </r>
    <r>
      <rPr>
        <sz val="10"/>
        <rFont val="Arial"/>
        <charset val="1"/>
      </rPr>
      <t xml:space="preserve">2026 </t>
    </r>
    <r>
      <rPr>
        <sz val="10"/>
        <rFont val="Noto Sans CJK SC"/>
        <family val="2"/>
      </rPr>
      <t xml:space="preserve">年约 </t>
    </r>
    <r>
      <rPr>
        <sz val="10"/>
        <rFont val="Arial"/>
        <charset val="1"/>
      </rPr>
      <t xml:space="preserve">200 </t>
    </r>
    <r>
      <rPr>
        <sz val="10"/>
        <rFont val="Noto Sans CJK SC"/>
        <family val="2"/>
      </rPr>
      <t>亿美元，</t>
    </r>
    <r>
      <rPr>
        <sz val="10"/>
        <rFont val="Arial"/>
        <charset val="1"/>
      </rPr>
      <t xml:space="preserve">2030 </t>
    </r>
    <r>
      <rPr>
        <sz val="10"/>
        <rFont val="Noto Sans CJK SC"/>
        <family val="2"/>
      </rPr>
      <t xml:space="preserve">年预计 </t>
    </r>
    <r>
      <rPr>
        <sz val="10"/>
        <rFont val="Arial"/>
        <charset val="1"/>
      </rPr>
      <t xml:space="preserve">650 </t>
    </r>
    <r>
      <rPr>
        <sz val="10"/>
        <rFont val="Noto Sans CJK SC"/>
        <family val="2"/>
      </rPr>
      <t>亿美元。</t>
    </r>
  </si>
  <si>
    <r>
      <rPr>
        <sz val="10"/>
        <rFont val="Noto Sans CJK SC"/>
        <family val="2"/>
      </rPr>
      <t xml:space="preserve">服务器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整机</t>
    </r>
  </si>
  <si>
    <t>Dell / HPE / Supermicro / Quanta</t>
  </si>
  <si>
    <r>
      <rPr>
        <sz val="10"/>
        <rFont val="Noto Sans CJK SC"/>
        <family val="2"/>
      </rPr>
      <t xml:space="preserve">工业富联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浪潮信息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联想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中科曙光</t>
    </r>
  </si>
  <si>
    <r>
      <rPr>
        <sz val="10"/>
        <rFont val="Noto Sans CJK SC"/>
        <family val="2"/>
      </rPr>
      <t>规模巨大、利润极薄——</t>
    </r>
    <r>
      <rPr>
        <sz val="10"/>
        <rFont val="Arial"/>
        <charset val="1"/>
      </rPr>
      <t xml:space="preserve">AI </t>
    </r>
    <r>
      <rPr>
        <sz val="10"/>
        <rFont val="Noto Sans CJK SC"/>
        <family val="2"/>
      </rPr>
      <t xml:space="preserve">服务器的价值几乎全部由内部的 </t>
    </r>
    <r>
      <rPr>
        <sz val="10"/>
        <rFont val="Arial"/>
        <charset val="1"/>
      </rPr>
      <t xml:space="preserve">GPU </t>
    </r>
    <r>
      <rPr>
        <sz val="10"/>
        <rFont val="Noto Sans CJK SC"/>
        <family val="2"/>
      </rPr>
      <t xml:space="preserve">和 </t>
    </r>
    <r>
      <rPr>
        <sz val="10"/>
        <rFont val="Arial"/>
        <charset val="1"/>
      </rPr>
      <t xml:space="preserve">HBM </t>
    </r>
    <r>
      <rPr>
        <sz val="10"/>
        <rFont val="Noto Sans CJK SC"/>
        <family val="2"/>
      </rPr>
      <t>决定，整机厂只赚组装与集成费。这是「高营收低利润」的典型陷阱。</t>
    </r>
  </si>
  <si>
    <t>云服务</t>
  </si>
  <si>
    <t>AWS / Azure / GCP / Oracle / CoreWeave</t>
  </si>
  <si>
    <r>
      <rPr>
        <sz val="10"/>
        <rFont val="Noto Sans CJK SC"/>
        <family val="2"/>
      </rPr>
      <t xml:space="preserve">阿里云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华为云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腾讯云</t>
    </r>
  </si>
  <si>
    <r>
      <rPr>
        <sz val="10"/>
        <rFont val="Noto Sans CJK SC"/>
        <family val="2"/>
      </rPr>
      <t>微软、亚马逊、谷歌、</t>
    </r>
    <r>
      <rPr>
        <sz val="10"/>
        <rFont val="Arial"/>
        <charset val="1"/>
      </rPr>
      <t>Meta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>Oracle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 xml:space="preserve">CoreWeave </t>
    </r>
    <r>
      <rPr>
        <sz val="10"/>
        <rFont val="Noto Sans CJK SC"/>
        <family val="2"/>
      </rPr>
      <t xml:space="preserve">六家 </t>
    </r>
    <r>
      <rPr>
        <sz val="10"/>
        <rFont val="Arial"/>
        <charset val="1"/>
      </rPr>
      <t xml:space="preserve">2026 </t>
    </r>
    <r>
      <rPr>
        <sz val="10"/>
        <rFont val="Noto Sans CJK SC"/>
        <family val="2"/>
      </rPr>
      <t xml:space="preserve">年资本开支超 </t>
    </r>
    <r>
      <rPr>
        <sz val="10"/>
        <rFont val="Arial"/>
        <charset val="1"/>
      </rPr>
      <t xml:space="preserve">7600 </t>
    </r>
    <r>
      <rPr>
        <sz val="10"/>
        <rFont val="Noto Sans CJK SC"/>
        <family val="2"/>
      </rPr>
      <t>亿美元（</t>
    </r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年为 </t>
    </r>
    <r>
      <rPr>
        <sz val="10"/>
        <rFont val="Arial"/>
        <charset val="1"/>
      </rPr>
      <t xml:space="preserve">4100 </t>
    </r>
    <r>
      <rPr>
        <sz val="10"/>
        <rFont val="Noto Sans CJK SC"/>
        <family val="2"/>
      </rPr>
      <t>亿）。他们既是整条链最大的买方，也是利润池的最终定价者——如果他们的投资回报不达预期，上游所有环节的估值同时承压。</t>
    </r>
  </si>
  <si>
    <t>模型层</t>
  </si>
  <si>
    <t>OpenAI / Anthropic / Google DeepMind / xAI</t>
  </si>
  <si>
    <r>
      <rPr>
        <sz val="10"/>
        <rFont val="Arial"/>
        <charset val="1"/>
      </rPr>
      <t xml:space="preserve">DeepSeek / </t>
    </r>
    <r>
      <rPr>
        <sz val="10"/>
        <rFont val="Noto Sans CJK SC"/>
        <family val="2"/>
      </rPr>
      <t xml:space="preserve">阿里通义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字节豆包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智谱</t>
    </r>
  </si>
  <si>
    <r>
      <rPr>
        <sz val="10"/>
        <rFont val="Arial"/>
        <charset val="1"/>
      </rPr>
      <t>OpenAI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 xml:space="preserve">Anthropic </t>
    </r>
    <r>
      <rPr>
        <sz val="10"/>
        <rFont val="Noto Sans CJK SC"/>
        <family val="2"/>
      </rPr>
      <t xml:space="preserve">等。收入高速增长但多数仍在亏损——训练成本与推理成本同时上升。这一层是否最终能形成稳定利润池，是整个 </t>
    </r>
    <r>
      <rPr>
        <sz val="10"/>
        <rFont val="Arial"/>
        <charset val="1"/>
      </rPr>
      <t xml:space="preserve">AI </t>
    </r>
    <r>
      <rPr>
        <sz val="10"/>
        <rFont val="Noto Sans CJK SC"/>
        <family val="2"/>
      </rPr>
      <t>资本开支叙事能否闭环的关键。</t>
    </r>
  </si>
  <si>
    <t>中国</t>
  </si>
  <si>
    <t>EDA / IP</t>
  </si>
  <si>
    <t>亿元人民币</t>
  </si>
  <si>
    <t>Synopsys 32% / Cadence 23% / Siemens 14%</t>
  </si>
  <si>
    <r>
      <rPr>
        <sz val="10"/>
        <rFont val="Noto Sans CJK SC"/>
        <family val="2"/>
      </rPr>
      <t>华大九天 约</t>
    </r>
    <r>
      <rPr>
        <sz val="10"/>
        <rFont val="Arial"/>
        <charset val="1"/>
      </rPr>
      <t xml:space="preserve">7% / </t>
    </r>
    <r>
      <rPr>
        <sz val="10"/>
        <rFont val="Noto Sans CJK SC"/>
        <family val="2"/>
      </rPr>
      <t xml:space="preserve">概伦电子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广立微</t>
    </r>
  </si>
  <si>
    <r>
      <rPr>
        <sz val="10"/>
        <rFont val="Noto Sans CJK SC"/>
        <family val="2"/>
      </rPr>
      <t xml:space="preserve">中国 </t>
    </r>
    <r>
      <rPr>
        <sz val="10"/>
        <rFont val="Arial"/>
        <charset val="1"/>
      </rPr>
      <t xml:space="preserve">EDA </t>
    </r>
    <r>
      <rPr>
        <sz val="10"/>
        <rFont val="Noto Sans CJK SC"/>
        <family val="2"/>
      </rPr>
      <t xml:space="preserve">市场 </t>
    </r>
    <r>
      <rPr>
        <sz val="10"/>
        <rFont val="Arial"/>
        <charset val="1"/>
      </rPr>
      <t xml:space="preserve">184.9 </t>
    </r>
    <r>
      <rPr>
        <sz val="10"/>
        <rFont val="Noto Sans CJK SC"/>
        <family val="2"/>
      </rPr>
      <t xml:space="preserve">亿元、占全球 </t>
    </r>
    <r>
      <rPr>
        <sz val="10"/>
        <rFont val="Arial"/>
        <charset val="1"/>
      </rPr>
      <t>18.1%</t>
    </r>
    <r>
      <rPr>
        <sz val="10"/>
        <rFont val="Noto Sans CJK SC"/>
        <family val="2"/>
      </rPr>
      <t xml:space="preserve">，但国产工具国内份额仅约 </t>
    </r>
    <r>
      <rPr>
        <sz val="10"/>
        <rFont val="Arial"/>
        <charset val="1"/>
      </rPr>
      <t>20%</t>
    </r>
    <r>
      <rPr>
        <sz val="10"/>
        <rFont val="Noto Sans CJK SC"/>
        <family val="2"/>
      </rPr>
      <t xml:space="preserve">，工艺支撑停在 </t>
    </r>
    <r>
      <rPr>
        <sz val="10"/>
        <rFont val="Arial"/>
        <charset val="1"/>
      </rPr>
      <t>14nm</t>
    </r>
    <r>
      <rPr>
        <sz val="10"/>
        <rFont val="Noto Sans CJK SC"/>
        <family val="2"/>
      </rPr>
      <t>。利润率低于海外三巨头，因为缺少全流程定价权。这是中国链利润最薄弱的起点。</t>
    </r>
  </si>
  <si>
    <r>
      <rPr>
        <sz val="10"/>
        <rFont val="Arial"/>
        <charset val="1"/>
      </rPr>
      <t xml:space="preserve">AMAT / Lam / TEL </t>
    </r>
    <r>
      <rPr>
        <sz val="10"/>
        <rFont val="Noto Sans CJK SC"/>
        <family val="2"/>
      </rPr>
      <t xml:space="preserve">仍占 </t>
    </r>
    <r>
      <rPr>
        <sz val="10"/>
        <rFont val="Arial"/>
        <charset val="1"/>
      </rPr>
      <t>74%</t>
    </r>
  </si>
  <si>
    <r>
      <rPr>
        <sz val="10"/>
        <rFont val="Noto Sans CJK SC"/>
        <family val="2"/>
      </rPr>
      <t xml:space="preserve">北方华创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中微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拓荆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盛美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华海清科</t>
    </r>
  </si>
  <si>
    <r>
      <rPr>
        <sz val="10"/>
        <rFont val="Noto Sans CJK SC"/>
        <family val="2"/>
      </rPr>
      <t xml:space="preserve">国产设备在中国 </t>
    </r>
    <r>
      <rPr>
        <sz val="10"/>
        <rFont val="Arial"/>
        <charset val="1"/>
      </rPr>
      <t xml:space="preserve">WFE </t>
    </r>
    <r>
      <rPr>
        <sz val="10"/>
        <rFont val="Noto Sans CJK SC"/>
        <family val="2"/>
      </rPr>
      <t xml:space="preserve">市场份额 </t>
    </r>
    <r>
      <rPr>
        <sz val="10"/>
        <rFont val="Arial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charset val="1"/>
      </rPr>
      <t>10%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 xml:space="preserve">2024 </t>
    </r>
    <r>
      <rPr>
        <sz val="10"/>
        <rFont val="Noto Sans CJK SC"/>
        <family val="2"/>
      </rPr>
      <t xml:space="preserve">年 </t>
    </r>
    <r>
      <rPr>
        <sz val="10"/>
        <rFont val="Arial"/>
        <charset val="1"/>
      </rPr>
      <t>17%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年跃升至 </t>
    </r>
    <r>
      <rPr>
        <sz val="10"/>
        <rFont val="Arial"/>
        <charset val="1"/>
      </rPr>
      <t>26%</t>
    </r>
    <r>
      <rPr>
        <sz val="10"/>
        <rFont val="Noto Sans CJK SC"/>
        <family val="2"/>
      </rPr>
      <t xml:space="preserve">，爬升速度超市场预期。长鑫与长存扩产直接拉动订单，头部厂商 </t>
    </r>
    <r>
      <rPr>
        <sz val="10"/>
        <rFont val="Arial"/>
        <charset val="1"/>
      </rPr>
      <t xml:space="preserve">Q2–Q3 </t>
    </r>
    <r>
      <rPr>
        <sz val="10"/>
        <rFont val="Noto Sans CJK SC"/>
        <family val="2"/>
      </rPr>
      <t xml:space="preserve">订单同比增速预计 </t>
    </r>
    <r>
      <rPr>
        <sz val="10"/>
        <rFont val="Arial"/>
        <charset val="1"/>
      </rPr>
      <t xml:space="preserve">40–50% </t>
    </r>
    <r>
      <rPr>
        <sz val="10"/>
        <rFont val="Noto Sans CJK SC"/>
        <family val="2"/>
      </rPr>
      <t>以上。这是中国链目前最确定的利润增长点。</t>
    </r>
  </si>
  <si>
    <r>
      <rPr>
        <sz val="10"/>
        <rFont val="Noto Sans CJK SC"/>
        <family val="2"/>
      </rPr>
      <t xml:space="preserve">信越 </t>
    </r>
    <r>
      <rPr>
        <sz val="10"/>
        <rFont val="Arial"/>
        <charset val="1"/>
      </rPr>
      <t>/ SUMCO / JSR</t>
    </r>
  </si>
  <si>
    <r>
      <rPr>
        <sz val="10"/>
        <rFont val="Noto Sans CJK SC"/>
        <family val="2"/>
      </rPr>
      <t xml:space="preserve">沪硅（亏损）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南大光电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江丰 </t>
    </r>
    <r>
      <rPr>
        <sz val="10"/>
        <rFont val="Arial"/>
        <charset val="1"/>
      </rPr>
      <t xml:space="preserve">38% / </t>
    </r>
    <r>
      <rPr>
        <sz val="10"/>
        <rFont val="Noto Sans CJK SC"/>
        <family val="2"/>
      </rPr>
      <t>鼎龙 毛利</t>
    </r>
    <r>
      <rPr>
        <sz val="10"/>
        <rFont val="Arial"/>
        <charset val="1"/>
      </rPr>
      <t>35–45%</t>
    </r>
  </si>
  <si>
    <r>
      <rPr>
        <sz val="10"/>
        <rFont val="Noto Sans CJK SC"/>
        <family val="2"/>
      </rPr>
      <t xml:space="preserve">中国大陆市场约 </t>
    </r>
    <r>
      <rPr>
        <sz val="10"/>
        <rFont val="Arial"/>
        <charset val="1"/>
      </rPr>
      <t xml:space="preserve">156 </t>
    </r>
    <r>
      <rPr>
        <sz val="10"/>
        <rFont val="Noto Sans CJK SC"/>
        <family val="2"/>
      </rPr>
      <t xml:space="preserve">亿美元（同比 </t>
    </r>
    <r>
      <rPr>
        <sz val="10"/>
        <rFont val="Arial"/>
        <charset val="1"/>
      </rPr>
      <t>+12.5%</t>
    </r>
    <r>
      <rPr>
        <sz val="10"/>
        <rFont val="Noto Sans CJK SC"/>
        <family val="2"/>
      </rPr>
      <t xml:space="preserve">）。国产化率整体不足 </t>
    </r>
    <r>
      <rPr>
        <sz val="10"/>
        <rFont val="Arial"/>
        <charset val="1"/>
      </rPr>
      <t>20%</t>
    </r>
    <r>
      <rPr>
        <sz val="10"/>
        <rFont val="Noto Sans CJK SC"/>
        <family val="2"/>
      </rPr>
      <t xml:space="preserve">，且 </t>
    </r>
    <r>
      <rPr>
        <sz val="10"/>
        <rFont val="Arial"/>
        <charset val="1"/>
      </rPr>
      <t xml:space="preserve">12 </t>
    </r>
    <r>
      <rPr>
        <sz val="10"/>
        <rFont val="Noto Sans CJK SC"/>
        <family val="2"/>
      </rPr>
      <t xml:space="preserve">英寸硅片因价格战导致龙头亏损（沪硅 </t>
    </r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年净亏 </t>
    </r>
    <r>
      <rPr>
        <sz val="10"/>
        <rFont val="Arial"/>
        <charset val="1"/>
      </rPr>
      <t xml:space="preserve">15.08 </t>
    </r>
    <r>
      <rPr>
        <sz val="10"/>
        <rFont val="Noto Sans CJK SC"/>
        <family val="2"/>
      </rPr>
      <t>亿元）——份额上升不等于利润上升，这是中国链最典型的内卷格。</t>
    </r>
  </si>
  <si>
    <r>
      <rPr>
        <sz val="10"/>
        <rFont val="Arial"/>
        <charset val="1"/>
      </rPr>
      <t xml:space="preserve">TSMC </t>
    </r>
    <r>
      <rPr>
        <sz val="10"/>
        <rFont val="Noto Sans CJK SC"/>
        <family val="2"/>
      </rPr>
      <t xml:space="preserve">毛利 </t>
    </r>
    <r>
      <rPr>
        <sz val="10"/>
        <rFont val="Arial"/>
        <charset val="1"/>
      </rPr>
      <t>62–66%</t>
    </r>
  </si>
  <si>
    <r>
      <rPr>
        <sz val="10"/>
        <rFont val="Noto Sans CJK SC"/>
        <family val="2"/>
      </rPr>
      <t xml:space="preserve">中芯国际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华虹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晶合集成</t>
    </r>
  </si>
  <si>
    <r>
      <rPr>
        <sz val="10"/>
        <rFont val="Noto Sans CJK SC"/>
        <family val="2"/>
      </rPr>
      <t xml:space="preserve">中芯 </t>
    </r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年营收 </t>
    </r>
    <r>
      <rPr>
        <sz val="10"/>
        <rFont val="Arial"/>
        <charset val="1"/>
      </rPr>
      <t xml:space="preserve">673.23 </t>
    </r>
    <r>
      <rPr>
        <sz val="10"/>
        <rFont val="Noto Sans CJK SC"/>
        <family val="2"/>
      </rPr>
      <t xml:space="preserve">亿元、净利 </t>
    </r>
    <r>
      <rPr>
        <sz val="10"/>
        <rFont val="Arial"/>
        <charset val="1"/>
      </rPr>
      <t xml:space="preserve">50.41 </t>
    </r>
    <r>
      <rPr>
        <sz val="10"/>
        <rFont val="Noto Sans CJK SC"/>
        <family val="2"/>
      </rPr>
      <t xml:space="preserve">亿元。毛利率远低于台积电，因为缺 </t>
    </r>
    <r>
      <rPr>
        <sz val="10"/>
        <rFont val="Arial"/>
        <charset val="1"/>
      </rPr>
      <t xml:space="preserve">EUV </t>
    </r>
    <r>
      <rPr>
        <sz val="10"/>
        <rFont val="Noto Sans CJK SC"/>
        <family val="2"/>
      </rPr>
      <t xml:space="preserve">只能靠 </t>
    </r>
    <r>
      <rPr>
        <sz val="10"/>
        <rFont val="Arial"/>
        <charset val="1"/>
      </rPr>
      <t xml:space="preserve">DUV </t>
    </r>
    <r>
      <rPr>
        <sz val="10"/>
        <rFont val="Noto Sans CJK SC"/>
        <family val="2"/>
      </rPr>
      <t>多重曝光，成本结构天然更差。</t>
    </r>
    <r>
      <rPr>
        <sz val="10"/>
        <rFont val="Arial"/>
        <charset val="1"/>
      </rPr>
      <t xml:space="preserve">8 </t>
    </r>
    <r>
      <rPr>
        <sz val="10"/>
        <rFont val="Noto Sans CJK SC"/>
        <family val="2"/>
      </rPr>
      <t xml:space="preserve">英寸产能利用率超 </t>
    </r>
    <r>
      <rPr>
        <sz val="10"/>
        <rFont val="Arial"/>
        <charset val="1"/>
      </rPr>
      <t>90%</t>
    </r>
    <r>
      <rPr>
        <sz val="10"/>
        <rFont val="Noto Sans CJK SC"/>
        <family val="2"/>
      </rPr>
      <t>，成熟制程是真实优势。</t>
    </r>
  </si>
  <si>
    <t>存储制造</t>
  </si>
  <si>
    <r>
      <rPr>
        <sz val="10"/>
        <rFont val="Noto Sans CJK SC"/>
        <family val="2"/>
      </rPr>
      <t xml:space="preserve">三星 </t>
    </r>
    <r>
      <rPr>
        <sz val="10"/>
        <rFont val="Arial"/>
        <charset val="1"/>
      </rPr>
      <t>/ SK</t>
    </r>
    <r>
      <rPr>
        <sz val="10"/>
        <rFont val="Noto Sans CJK SC"/>
        <family val="2"/>
      </rPr>
      <t xml:space="preserve">海力士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美光</t>
    </r>
  </si>
  <si>
    <r>
      <rPr>
        <sz val="10"/>
        <rFont val="Noto Sans CJK SC"/>
        <family val="2"/>
      </rPr>
      <t xml:space="preserve">长鑫科技 </t>
    </r>
    <r>
      <rPr>
        <sz val="10"/>
        <rFont val="Arial"/>
        <charset val="1"/>
      </rPr>
      <t xml:space="preserve">688825 / </t>
    </r>
    <r>
      <rPr>
        <sz val="10"/>
        <rFont val="Noto Sans CJK SC"/>
        <family val="2"/>
      </rPr>
      <t>长江存储（未上市）</t>
    </r>
  </si>
  <si>
    <r>
      <rPr>
        <sz val="10"/>
        <rFont val="Noto Sans CJK SC"/>
        <family val="2"/>
      </rPr>
      <t xml:space="preserve">中国链利润率最高的环节，与全球链一致。长鑫 </t>
    </r>
    <r>
      <rPr>
        <sz val="10"/>
        <rFont val="Arial"/>
        <charset val="1"/>
      </rPr>
      <t xml:space="preserve">2026H1 </t>
    </r>
    <r>
      <rPr>
        <sz val="10"/>
        <rFont val="Noto Sans CJK SC"/>
        <family val="2"/>
      </rPr>
      <t xml:space="preserve">营收 </t>
    </r>
    <r>
      <rPr>
        <sz val="10"/>
        <rFont val="Arial"/>
        <charset val="1"/>
      </rPr>
      <t xml:space="preserve">1100–1200 </t>
    </r>
    <r>
      <rPr>
        <sz val="10"/>
        <rFont val="Noto Sans CJK SC"/>
        <family val="2"/>
      </rPr>
      <t xml:space="preserve">亿元、净利 </t>
    </r>
    <r>
      <rPr>
        <sz val="10"/>
        <rFont val="Arial"/>
        <charset val="1"/>
      </rPr>
      <t xml:space="preserve">660–750 </t>
    </r>
    <r>
      <rPr>
        <sz val="10"/>
        <rFont val="Noto Sans CJK SC"/>
        <family val="2"/>
      </rPr>
      <t xml:space="preserve">亿元，全球 </t>
    </r>
    <r>
      <rPr>
        <sz val="10"/>
        <rFont val="Arial"/>
        <charset val="1"/>
      </rPr>
      <t xml:space="preserve">DRAM </t>
    </r>
    <r>
      <rPr>
        <sz val="10"/>
        <rFont val="Noto Sans CJK SC"/>
        <family val="2"/>
      </rPr>
      <t xml:space="preserve">份额 </t>
    </r>
    <r>
      <rPr>
        <sz val="10"/>
        <rFont val="Arial"/>
        <charset val="1"/>
      </rPr>
      <t>7.85%</t>
    </r>
    <r>
      <rPr>
        <sz val="10"/>
        <rFont val="Noto Sans CJK SC"/>
        <family val="2"/>
      </rPr>
      <t xml:space="preserve">（第四）。长江存储 </t>
    </r>
    <r>
      <rPr>
        <sz val="10"/>
        <rFont val="Arial"/>
        <charset val="1"/>
      </rPr>
      <t xml:space="preserve">NAND </t>
    </r>
    <r>
      <rPr>
        <sz val="10"/>
        <rFont val="Noto Sans CJK SC"/>
        <family val="2"/>
      </rPr>
      <t xml:space="preserve">全球 </t>
    </r>
    <r>
      <rPr>
        <sz val="10"/>
        <rFont val="Arial"/>
        <charset val="1"/>
      </rPr>
      <t>13%</t>
    </r>
    <r>
      <rPr>
        <sz val="10"/>
        <rFont val="Noto Sans CJK SC"/>
        <family val="2"/>
      </rPr>
      <t xml:space="preserve">。剩余缺口是 </t>
    </r>
    <r>
      <rPr>
        <sz val="10"/>
        <rFont val="Arial"/>
        <charset val="1"/>
      </rPr>
      <t>HBM</t>
    </r>
    <r>
      <rPr>
        <sz val="10"/>
        <rFont val="Noto Sans CJK SC"/>
        <family val="2"/>
      </rPr>
      <t>，也正是全球链利润最集中的地方。</t>
    </r>
  </si>
  <si>
    <t>NVIDIA 15–20% / AMD 10–12%</t>
  </si>
  <si>
    <r>
      <rPr>
        <sz val="10"/>
        <rFont val="Noto Sans CJK SC"/>
        <family val="2"/>
      </rPr>
      <t xml:space="preserve">昇腾 </t>
    </r>
    <r>
      <rPr>
        <sz val="10"/>
        <rFont val="Arial"/>
        <charset val="1"/>
      </rPr>
      <t xml:space="preserve">37% / </t>
    </r>
    <r>
      <rPr>
        <sz val="10"/>
        <rFont val="Noto Sans CJK SC"/>
        <family val="2"/>
      </rPr>
      <t xml:space="preserve">寒武纪 </t>
    </r>
    <r>
      <rPr>
        <sz val="10"/>
        <rFont val="Arial"/>
        <charset val="1"/>
      </rPr>
      <t xml:space="preserve">7–9% / </t>
    </r>
    <r>
      <rPr>
        <sz val="10"/>
        <rFont val="Noto Sans CJK SC"/>
        <family val="2"/>
      </rPr>
      <t xml:space="preserve">海光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摩尔线程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沐曦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壁仞</t>
    </r>
  </si>
  <si>
    <r>
      <rPr>
        <sz val="10"/>
        <rFont val="Noto Sans CJK SC"/>
        <family val="2"/>
      </rPr>
      <t xml:space="preserve">国产在华份额 </t>
    </r>
    <r>
      <rPr>
        <sz val="10"/>
        <rFont val="Arial"/>
        <charset val="1"/>
      </rPr>
      <t xml:space="preserve">2026Q1 </t>
    </r>
    <r>
      <rPr>
        <sz val="10"/>
        <rFont val="Noto Sans CJK SC"/>
        <family val="2"/>
      </rPr>
      <t xml:space="preserve">首破 </t>
    </r>
    <r>
      <rPr>
        <sz val="10"/>
        <rFont val="Arial"/>
        <charset val="1"/>
      </rPr>
      <t>52.3%</t>
    </r>
    <r>
      <rPr>
        <sz val="10"/>
        <rFont val="Noto Sans CJK SC"/>
        <family val="2"/>
      </rPr>
      <t xml:space="preserve">，昇腾 </t>
    </r>
    <r>
      <rPr>
        <sz val="10"/>
        <rFont val="Arial"/>
        <charset val="1"/>
      </rPr>
      <t>37%</t>
    </r>
    <r>
      <rPr>
        <sz val="10"/>
        <rFont val="Noto Sans CJK SC"/>
        <family val="2"/>
      </rPr>
      <t xml:space="preserve">（占国产总量 </t>
    </r>
    <r>
      <rPr>
        <sz val="10"/>
        <rFont val="Arial"/>
        <charset val="1"/>
      </rPr>
      <t>70%</t>
    </r>
    <r>
      <rPr>
        <sz val="10"/>
        <rFont val="Noto Sans CJK SC"/>
        <family val="2"/>
      </rPr>
      <t xml:space="preserve">），英伟达降至 </t>
    </r>
    <r>
      <rPr>
        <sz val="10"/>
        <rFont val="Arial"/>
        <charset val="1"/>
      </rPr>
      <t>15–20%</t>
    </r>
    <r>
      <rPr>
        <sz val="10"/>
        <rFont val="Noto Sans CJK SC"/>
        <family val="2"/>
      </rPr>
      <t>。</t>
    </r>
    <r>
      <rPr>
        <sz val="10"/>
        <rFont val="Arial"/>
        <charset val="1"/>
      </rPr>
      <t xml:space="preserve">Bernstein </t>
    </r>
    <r>
      <rPr>
        <sz val="10"/>
        <rFont val="Noto Sans CJK SC"/>
        <family val="2"/>
      </rPr>
      <t xml:space="preserve">预计 </t>
    </r>
    <r>
      <rPr>
        <sz val="10"/>
        <rFont val="Arial"/>
        <charset val="1"/>
      </rPr>
      <t xml:space="preserve">2026 </t>
    </r>
    <r>
      <rPr>
        <sz val="10"/>
        <rFont val="Noto Sans CJK SC"/>
        <family val="2"/>
      </rPr>
      <t xml:space="preserve">全年华为达 </t>
    </r>
    <r>
      <rPr>
        <sz val="10"/>
        <rFont val="Arial"/>
        <charset val="1"/>
      </rPr>
      <t>50%</t>
    </r>
    <r>
      <rPr>
        <sz val="10"/>
        <rFont val="Noto Sans CJK SC"/>
        <family val="2"/>
      </rPr>
      <t xml:space="preserve">、英伟达 </t>
    </r>
    <r>
      <rPr>
        <sz val="10"/>
        <rFont val="Arial"/>
        <charset val="1"/>
      </rPr>
      <t>8%</t>
    </r>
    <r>
      <rPr>
        <sz val="10"/>
        <rFont val="Noto Sans CJK SC"/>
        <family val="2"/>
      </rPr>
      <t xml:space="preserve">。但全球份额仍是个位数——行政力量能替代本土市场，替代不了 </t>
    </r>
    <r>
      <rPr>
        <sz val="10"/>
        <rFont val="Arial"/>
        <charset val="1"/>
      </rPr>
      <t xml:space="preserve">CUDA </t>
    </r>
    <r>
      <rPr>
        <sz val="10"/>
        <rFont val="Noto Sans CJK SC"/>
        <family val="2"/>
      </rPr>
      <t>生态。</t>
    </r>
  </si>
  <si>
    <r>
      <rPr>
        <sz val="10"/>
        <rFont val="Arial"/>
        <charset val="1"/>
      </rPr>
      <t xml:space="preserve">Coherent </t>
    </r>
    <r>
      <rPr>
        <sz val="10"/>
        <rFont val="Noto Sans CJK SC"/>
        <family val="2"/>
      </rPr>
      <t>约</t>
    </r>
    <r>
      <rPr>
        <sz val="10"/>
        <rFont val="Arial"/>
        <charset val="1"/>
      </rPr>
      <t>16% / Lumentum</t>
    </r>
  </si>
  <si>
    <r>
      <rPr>
        <sz val="10"/>
        <rFont val="Noto Sans CJK SC"/>
        <family val="2"/>
      </rPr>
      <t xml:space="preserve">中际旭创 </t>
    </r>
    <r>
      <rPr>
        <sz val="10"/>
        <rFont val="Arial"/>
        <charset val="1"/>
      </rPr>
      <t xml:space="preserve">23.4–27% / </t>
    </r>
    <r>
      <rPr>
        <sz val="10"/>
        <rFont val="Noto Sans CJK SC"/>
        <family val="2"/>
      </rPr>
      <t xml:space="preserve">新易盛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天孚通信</t>
    </r>
  </si>
  <si>
    <r>
      <rPr>
        <sz val="10"/>
        <rFont val="Noto Sans CJK SC"/>
        <family val="2"/>
      </rPr>
      <t>中国链唯一的全球垄断位置。中际旭创全球第一，</t>
    </r>
    <r>
      <rPr>
        <sz val="10"/>
        <rFont val="Arial"/>
        <charset val="1"/>
      </rPr>
      <t xml:space="preserve">800G </t>
    </r>
    <r>
      <rPr>
        <sz val="10"/>
        <rFont val="Noto Sans CJK SC"/>
        <family val="2"/>
      </rPr>
      <t xml:space="preserve">超 </t>
    </r>
    <r>
      <rPr>
        <sz val="10"/>
        <rFont val="Arial"/>
        <charset val="1"/>
      </rPr>
      <t>40%</t>
    </r>
    <r>
      <rPr>
        <sz val="10"/>
        <rFont val="Noto Sans CJK SC"/>
        <family val="2"/>
      </rPr>
      <t>、</t>
    </r>
    <r>
      <rPr>
        <sz val="10"/>
        <rFont val="Arial"/>
        <charset val="1"/>
      </rPr>
      <t xml:space="preserve">1.6T </t>
    </r>
    <r>
      <rPr>
        <sz val="10"/>
        <rFont val="Noto Sans CJK SC"/>
        <family val="2"/>
      </rPr>
      <t xml:space="preserve">达 </t>
    </r>
    <r>
      <rPr>
        <sz val="10"/>
        <rFont val="Arial"/>
        <charset val="1"/>
      </rPr>
      <t>50–70%</t>
    </r>
    <r>
      <rPr>
        <sz val="10"/>
        <rFont val="Noto Sans CJK SC"/>
        <family val="2"/>
      </rPr>
      <t xml:space="preserve">。但 </t>
    </r>
    <r>
      <rPr>
        <sz val="10"/>
        <rFont val="Arial"/>
        <charset val="1"/>
      </rPr>
      <t xml:space="preserve">90% </t>
    </r>
    <r>
      <rPr>
        <sz val="10"/>
        <rFont val="Noto Sans CJK SC"/>
        <family val="2"/>
      </rPr>
      <t xml:space="preserve">以上收入来自境外，本质是全球 </t>
    </r>
    <r>
      <rPr>
        <sz val="10"/>
        <rFont val="Arial"/>
        <charset val="1"/>
      </rPr>
      <t xml:space="preserve">AI </t>
    </r>
    <r>
      <rPr>
        <sz val="10"/>
        <rFont val="Noto Sans CJK SC"/>
        <family val="2"/>
      </rPr>
      <t>资本开支链而非国产自主可控链——</t>
    </r>
    <r>
      <rPr>
        <sz val="10"/>
        <rFont val="Arial"/>
        <charset val="1"/>
      </rPr>
      <t xml:space="preserve">FCC </t>
    </r>
    <r>
      <rPr>
        <sz val="10"/>
        <rFont val="Noto Sans CJK SC"/>
        <family val="2"/>
      </rPr>
      <t>若禁令落地，这个位置会被直接切断。</t>
    </r>
  </si>
  <si>
    <t>智驾芯片</t>
  </si>
  <si>
    <r>
      <rPr>
        <sz val="10"/>
        <rFont val="Noto Sans CJK SC"/>
        <family val="2"/>
      </rPr>
      <t>英伟达 全阶</t>
    </r>
    <r>
      <rPr>
        <sz val="10"/>
        <rFont val="Arial"/>
        <charset val="1"/>
      </rPr>
      <t xml:space="preserve">29.38% / </t>
    </r>
    <r>
      <rPr>
        <sz val="10"/>
        <rFont val="Noto Sans CJK SC"/>
        <family val="2"/>
      </rPr>
      <t>高阶</t>
    </r>
    <r>
      <rPr>
        <sz val="10"/>
        <rFont val="Arial"/>
        <charset val="1"/>
      </rPr>
      <t>39.43% / Mobileye 9.17%</t>
    </r>
  </si>
  <si>
    <r>
      <rPr>
        <sz val="10"/>
        <rFont val="Noto Sans CJK SC"/>
        <family val="2"/>
      </rPr>
      <t xml:space="preserve">地平线 </t>
    </r>
    <r>
      <rPr>
        <sz val="10"/>
        <rFont val="Arial"/>
        <charset val="1"/>
      </rPr>
      <t xml:space="preserve">31.94% / </t>
    </r>
    <r>
      <rPr>
        <sz val="10"/>
        <rFont val="Noto Sans CJK SC"/>
        <family val="2"/>
      </rPr>
      <t xml:space="preserve">华为 </t>
    </r>
    <r>
      <rPr>
        <sz val="10"/>
        <rFont val="Arial"/>
        <charset val="1"/>
      </rPr>
      <t xml:space="preserve">8.74% / </t>
    </r>
    <r>
      <rPr>
        <sz val="10"/>
        <rFont val="Noto Sans CJK SC"/>
        <family val="2"/>
      </rPr>
      <t>黑芝麻智能</t>
    </r>
  </si>
  <si>
    <r>
      <rPr>
        <sz val="10"/>
        <rFont val="Noto Sans CJK SC"/>
        <family val="2"/>
      </rPr>
      <t xml:space="preserve">自主品牌全阶市场地平线 </t>
    </r>
    <r>
      <rPr>
        <sz val="10"/>
        <rFont val="Arial"/>
        <charset val="1"/>
      </rPr>
      <t xml:space="preserve">31.94% </t>
    </r>
    <r>
      <rPr>
        <sz val="10"/>
        <rFont val="Noto Sans CJK SC"/>
        <family val="2"/>
      </rPr>
      <t xml:space="preserve">第一，超过英伟达 </t>
    </r>
    <r>
      <rPr>
        <sz val="10"/>
        <rFont val="Arial"/>
        <charset val="1"/>
      </rPr>
      <t>29.38%</t>
    </r>
    <r>
      <rPr>
        <sz val="10"/>
        <rFont val="Noto Sans CJK SC"/>
        <family val="2"/>
      </rPr>
      <t xml:space="preserve">。但城区 </t>
    </r>
    <r>
      <rPr>
        <sz val="10"/>
        <rFont val="Arial"/>
        <charset val="1"/>
      </rPr>
      <t xml:space="preserve">NOA </t>
    </r>
    <r>
      <rPr>
        <sz val="10"/>
        <rFont val="Noto Sans CJK SC"/>
        <family val="2"/>
      </rPr>
      <t xml:space="preserve">高阶市场英伟达 </t>
    </r>
    <r>
      <rPr>
        <sz val="10"/>
        <rFont val="Arial"/>
        <charset val="1"/>
      </rPr>
      <t xml:space="preserve">39.43% </t>
    </r>
    <r>
      <rPr>
        <sz val="10"/>
        <rFont val="Noto Sans CJK SC"/>
        <family val="2"/>
      </rPr>
      <t xml:space="preserve">反超，地平线 </t>
    </r>
    <r>
      <rPr>
        <sz val="10"/>
        <rFont val="Arial"/>
        <charset val="1"/>
      </rPr>
      <t>22.82%</t>
    </r>
    <r>
      <rPr>
        <sz val="10"/>
        <rFont val="Noto Sans CJK SC"/>
        <family val="2"/>
      </rPr>
      <t>。量在国产手上，高价位利润仍在英伟达手上。</t>
    </r>
  </si>
  <si>
    <t>激光雷达</t>
  </si>
  <si>
    <r>
      <rPr>
        <sz val="10"/>
        <rFont val="Arial"/>
        <charset val="1"/>
      </rPr>
      <t>Luminar</t>
    </r>
    <r>
      <rPr>
        <sz val="10"/>
        <rFont val="Noto Sans CJK SC"/>
        <family val="2"/>
      </rPr>
      <t xml:space="preserve">（已破产） </t>
    </r>
    <r>
      <rPr>
        <sz val="10"/>
        <rFont val="Arial"/>
        <charset val="1"/>
      </rPr>
      <t>/ Valeo</t>
    </r>
  </si>
  <si>
    <r>
      <rPr>
        <sz val="10"/>
        <rFont val="Noto Sans CJK SC"/>
        <family val="2"/>
      </rPr>
      <t xml:space="preserve">禾赛 </t>
    </r>
    <r>
      <rPr>
        <sz val="10"/>
        <rFont val="Arial"/>
        <charset val="1"/>
      </rPr>
      <t xml:space="preserve">43% / </t>
    </r>
    <r>
      <rPr>
        <sz val="10"/>
        <rFont val="Noto Sans CJK SC"/>
        <family val="2"/>
      </rPr>
      <t xml:space="preserve">速腾聚创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华为</t>
    </r>
  </si>
  <si>
    <r>
      <rPr>
        <sz val="10"/>
        <rFont val="Noto Sans CJK SC"/>
        <family val="2"/>
      </rPr>
      <t xml:space="preserve">中国厂商占全球车载市场 </t>
    </r>
    <r>
      <rPr>
        <sz val="10"/>
        <rFont val="Arial"/>
        <charset val="1"/>
      </rPr>
      <t>80–95%</t>
    </r>
    <r>
      <rPr>
        <sz val="10"/>
        <rFont val="Noto Sans CJK SC"/>
        <family val="2"/>
      </rPr>
      <t xml:space="preserve">，海外龙头 </t>
    </r>
    <r>
      <rPr>
        <sz val="10"/>
        <rFont val="Arial"/>
        <charset val="1"/>
      </rPr>
      <t xml:space="preserve">Luminar </t>
    </r>
    <r>
      <rPr>
        <sz val="10"/>
        <rFont val="Noto Sans CJK SC"/>
        <family val="2"/>
      </rPr>
      <t xml:space="preserve">已于 </t>
    </r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年 </t>
    </r>
    <r>
      <rPr>
        <sz val="10"/>
        <rFont val="Arial"/>
        <charset val="1"/>
      </rPr>
      <t xml:space="preserve">12 </t>
    </r>
    <r>
      <rPr>
        <sz val="10"/>
        <rFont val="Noto Sans CJK SC"/>
        <family val="2"/>
      </rPr>
      <t xml:space="preserve">月破产。禾赛全球 </t>
    </r>
    <r>
      <rPr>
        <sz val="10"/>
        <rFont val="Arial"/>
        <charset val="1"/>
      </rPr>
      <t xml:space="preserve">ADAS </t>
    </r>
    <r>
      <rPr>
        <sz val="10"/>
        <rFont val="Noto Sans CJK SC"/>
        <family val="2"/>
      </rPr>
      <t xml:space="preserve">主雷达 </t>
    </r>
    <r>
      <rPr>
        <sz val="10"/>
        <rFont val="Arial"/>
        <charset val="1"/>
      </rPr>
      <t xml:space="preserve">43% </t>
    </r>
    <r>
      <rPr>
        <sz val="10"/>
        <rFont val="Noto Sans CJK SC"/>
        <family val="2"/>
      </rPr>
      <t xml:space="preserve">第一。但全球市场规模 </t>
    </r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年才刚突破 </t>
    </r>
    <r>
      <rPr>
        <sz val="10"/>
        <rFont val="Arial"/>
        <charset val="1"/>
      </rPr>
      <t xml:space="preserve">10 </t>
    </r>
    <r>
      <rPr>
        <sz val="10"/>
        <rFont val="Noto Sans CJK SC"/>
        <family val="2"/>
      </rPr>
      <t>亿美元——赢下的是一个小池子，且价格战使利润率偏低。</t>
    </r>
  </si>
  <si>
    <t>Dell / HPE / Supermicro</t>
  </si>
  <si>
    <r>
      <rPr>
        <sz val="10"/>
        <rFont val="Noto Sans CJK SC"/>
        <family val="2"/>
      </rPr>
      <t xml:space="preserve">浪潮信息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工业富联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中科曙光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联想</t>
    </r>
  </si>
  <si>
    <r>
      <rPr>
        <sz val="10"/>
        <rFont val="Noto Sans CJK SC"/>
        <family val="2"/>
      </rPr>
      <t xml:space="preserve">比全球链更薄。国内 </t>
    </r>
    <r>
      <rPr>
        <sz val="10"/>
        <rFont val="Arial"/>
        <charset val="1"/>
      </rPr>
      <t xml:space="preserve">AI </t>
    </r>
    <r>
      <rPr>
        <sz val="10"/>
        <rFont val="Noto Sans CJK SC"/>
        <family val="2"/>
      </rPr>
      <t>服务器竞争充分、政企招标压价，整机厂利润率普遍个位数。营收规模大但对利润贡献有限。</t>
    </r>
  </si>
  <si>
    <r>
      <rPr>
        <sz val="10"/>
        <rFont val="Noto Sans CJK SC"/>
        <family val="2"/>
      </rPr>
      <t xml:space="preserve">智能算力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云</t>
    </r>
  </si>
  <si>
    <r>
      <rPr>
        <sz val="10"/>
        <rFont val="Arial"/>
        <charset val="1"/>
      </rPr>
      <t xml:space="preserve">AWS </t>
    </r>
    <r>
      <rPr>
        <sz val="10"/>
        <rFont val="Noto Sans CJK SC"/>
        <family val="2"/>
      </rPr>
      <t xml:space="preserve">营业利润率 </t>
    </r>
    <r>
      <rPr>
        <sz val="10"/>
        <rFont val="Arial"/>
        <charset val="1"/>
      </rPr>
      <t>30–37%</t>
    </r>
  </si>
  <si>
    <r>
      <rPr>
        <sz val="10"/>
        <rFont val="Noto Sans CJK SC"/>
        <family val="2"/>
      </rPr>
      <t xml:space="preserve">阿里云 </t>
    </r>
    <r>
      <rPr>
        <sz val="10"/>
        <rFont val="Arial"/>
        <charset val="1"/>
      </rPr>
      <t xml:space="preserve">35.8% / </t>
    </r>
    <r>
      <rPr>
        <sz val="10"/>
        <rFont val="Noto Sans CJK SC"/>
        <family val="2"/>
      </rPr>
      <t xml:space="preserve">华为云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腾讯云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三大运营商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地方国资智算中心</t>
    </r>
  </si>
  <si>
    <r>
      <rPr>
        <sz val="10"/>
        <rFont val="Arial"/>
        <charset val="1"/>
      </rPr>
      <t xml:space="preserve">2025 </t>
    </r>
    <r>
      <rPr>
        <sz val="10"/>
        <rFont val="Noto Sans CJK SC"/>
        <family val="2"/>
      </rPr>
      <t xml:space="preserve">年中国智能算力 </t>
    </r>
    <r>
      <rPr>
        <sz val="10"/>
        <rFont val="Arial"/>
        <charset val="1"/>
      </rPr>
      <t>1037.3 EFlops</t>
    </r>
    <r>
      <rPr>
        <sz val="10"/>
        <rFont val="Noto Sans CJK SC"/>
        <family val="2"/>
      </rPr>
      <t>（</t>
    </r>
    <r>
      <rPr>
        <sz val="10"/>
        <rFont val="Arial"/>
        <charset val="1"/>
      </rPr>
      <t>+43%</t>
    </r>
    <r>
      <rPr>
        <sz val="10"/>
        <rFont val="Noto Sans CJK SC"/>
        <family val="2"/>
      </rPr>
      <t>），</t>
    </r>
    <r>
      <rPr>
        <sz val="10"/>
        <rFont val="Arial"/>
        <charset val="1"/>
      </rPr>
      <t xml:space="preserve">2026 </t>
    </r>
    <r>
      <rPr>
        <sz val="10"/>
        <rFont val="Noto Sans CJK SC"/>
        <family val="2"/>
      </rPr>
      <t xml:space="preserve">年预计 </t>
    </r>
    <r>
      <rPr>
        <sz val="10"/>
        <rFont val="Arial"/>
        <charset val="1"/>
      </rPr>
      <t>1460 EFLOPS</t>
    </r>
    <r>
      <rPr>
        <sz val="10"/>
        <rFont val="Noto Sans CJK SC"/>
        <family val="2"/>
      </rPr>
      <t>（</t>
    </r>
    <r>
      <rPr>
        <sz val="10"/>
        <rFont val="Arial"/>
        <charset val="1"/>
      </rPr>
      <t>+41%</t>
    </r>
    <r>
      <rPr>
        <sz val="10"/>
        <rFont val="Noto Sans CJK SC"/>
        <family val="2"/>
      </rPr>
      <t>）。</t>
    </r>
    <r>
      <rPr>
        <sz val="10"/>
        <rFont val="Arial"/>
        <charset val="1"/>
      </rPr>
      <t xml:space="preserve">2025H1 </t>
    </r>
    <r>
      <rPr>
        <sz val="10"/>
        <rFont val="Noto Sans CJK SC"/>
        <family val="2"/>
      </rPr>
      <t xml:space="preserve">中国 </t>
    </r>
    <r>
      <rPr>
        <sz val="10"/>
        <rFont val="Arial"/>
        <charset val="1"/>
      </rPr>
      <t xml:space="preserve">AI </t>
    </r>
    <r>
      <rPr>
        <sz val="10"/>
        <rFont val="Noto Sans CJK SC"/>
        <family val="2"/>
      </rPr>
      <t xml:space="preserve">云市场 </t>
    </r>
    <r>
      <rPr>
        <sz val="10"/>
        <rFont val="Arial"/>
        <charset val="1"/>
      </rPr>
      <t xml:space="preserve">223 </t>
    </r>
    <r>
      <rPr>
        <sz val="10"/>
        <rFont val="Noto Sans CJK SC"/>
        <family val="2"/>
      </rPr>
      <t xml:space="preserve">亿元，阿里云 </t>
    </r>
    <r>
      <rPr>
        <sz val="10"/>
        <rFont val="Arial"/>
        <charset val="1"/>
      </rPr>
      <t xml:space="preserve">35.8% </t>
    </r>
    <r>
      <rPr>
        <sz val="10"/>
        <rFont val="Noto Sans CJK SC"/>
        <family val="2"/>
      </rPr>
      <t xml:space="preserve">超过第 </t>
    </r>
    <r>
      <rPr>
        <sz val="10"/>
        <rFont val="Arial"/>
        <charset val="1"/>
      </rPr>
      <t xml:space="preserve">2–4 </t>
    </r>
    <r>
      <rPr>
        <sz val="10"/>
        <rFont val="Noto Sans CJK SC"/>
        <family val="2"/>
      </rPr>
      <t xml:space="preserve">名之和。阿里未来三年投入超 </t>
    </r>
    <r>
      <rPr>
        <sz val="10"/>
        <rFont val="Arial"/>
        <charset val="1"/>
      </rPr>
      <t xml:space="preserve">3800 </t>
    </r>
    <r>
      <rPr>
        <sz val="10"/>
        <rFont val="Noto Sans CJK SC"/>
        <family val="2"/>
      </rPr>
      <t xml:space="preserve">亿元，腾讯 </t>
    </r>
    <r>
      <rPr>
        <sz val="10"/>
        <rFont val="Arial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charset val="1"/>
      </rPr>
      <t xml:space="preserve">AI </t>
    </r>
    <r>
      <rPr>
        <sz val="10"/>
        <rFont val="Noto Sans CJK SC"/>
        <family val="2"/>
      </rPr>
      <t>投入翻倍。需求端集中在少数几家，客户集中度风险高于美国六大买方结构。</t>
    </r>
  </si>
  <si>
    <r>
      <rPr>
        <sz val="10"/>
        <rFont val="Noto Sans CJK SC"/>
        <family val="2"/>
      </rPr>
      <t xml:space="preserve">大模型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>应用</t>
    </r>
  </si>
  <si>
    <t>OpenAI / Anthropic</t>
  </si>
  <si>
    <r>
      <rPr>
        <sz val="10"/>
        <rFont val="Arial"/>
        <charset val="1"/>
      </rPr>
      <t xml:space="preserve">DeepSeek / </t>
    </r>
    <r>
      <rPr>
        <sz val="10"/>
        <rFont val="Noto Sans CJK SC"/>
        <family val="2"/>
      </rPr>
      <t xml:space="preserve">通义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豆包 </t>
    </r>
    <r>
      <rPr>
        <sz val="10"/>
        <rFont val="Arial"/>
        <charset val="1"/>
      </rPr>
      <t xml:space="preserve">/ </t>
    </r>
    <r>
      <rPr>
        <sz val="10"/>
        <rFont val="Noto Sans CJK SC"/>
        <family val="2"/>
      </rPr>
      <t xml:space="preserve">智谱 </t>
    </r>
    <r>
      <rPr>
        <sz val="10"/>
        <rFont val="Arial"/>
        <charset val="1"/>
      </rPr>
      <t>/ Kimi</t>
    </r>
  </si>
  <si>
    <r>
      <rPr>
        <sz val="10"/>
        <rFont val="Noto Sans CJK SC"/>
        <family val="2"/>
      </rPr>
      <t>价格战比美国更激烈，</t>
    </r>
    <r>
      <rPr>
        <sz val="10"/>
        <rFont val="Arial"/>
        <charset val="1"/>
      </rPr>
      <t xml:space="preserve">API </t>
    </r>
    <r>
      <rPr>
        <sz val="10"/>
        <rFont val="Noto Sans CJK SC"/>
        <family val="2"/>
      </rPr>
      <t>价格已多轮下调。多数厂商仍在亏损，且开源模型进一步压缩了闭源模型的定价空间。这一层能否形成利润池，直接决定上游算力投入的可持续性。</t>
    </r>
  </si>
  <si>
    <t>注：全球链单位为亿美元、中国链为亿元人民币，两者不可直接比较绝对值。</t>
  </si>
  <si>
    <r>
      <rPr>
        <i/>
        <sz val="9"/>
        <color rgb="FF8A8480"/>
        <rFont val="Noto Sans CJK SC"/>
        <family val="2"/>
      </rPr>
      <t xml:space="preserve">利润池 </t>
    </r>
    <r>
      <rPr>
        <i/>
        <sz val="9"/>
        <color rgb="FF8A8480"/>
        <rFont val="Arial"/>
        <charset val="1"/>
      </rPr>
      <t xml:space="preserve">= </t>
    </r>
    <r>
      <rPr>
        <i/>
        <sz val="9"/>
        <color rgb="FF8A8480"/>
        <rFont val="Noto Sans CJK SC"/>
        <family val="2"/>
      </rPr>
      <t xml:space="preserve">市场规模 </t>
    </r>
    <r>
      <rPr>
        <i/>
        <sz val="9"/>
        <color rgb="FF8A8480"/>
        <rFont val="Arial"/>
        <charset val="1"/>
      </rPr>
      <t xml:space="preserve">× </t>
    </r>
    <r>
      <rPr>
        <i/>
        <sz val="9"/>
        <color rgb="FF8A8480"/>
        <rFont val="Noto Sans CJK SC"/>
        <family val="2"/>
      </rPr>
      <t>利润率，为数量级估算；同一环节内公司差异大，本表取龙头数据，会系统性高估行业平均。</t>
    </r>
  </si>
  <si>
    <r>
      <rPr>
        <i/>
        <sz val="9"/>
        <color rgb="FF8A8480"/>
        <rFont val="Noto Sans CJK SC"/>
        <family val="2"/>
      </rPr>
      <t xml:space="preserve">详细展开、三类生态位与未来推演见 </t>
    </r>
    <r>
      <rPr>
        <i/>
        <sz val="9"/>
        <color rgb="FF8A8480"/>
        <rFont val="Arial"/>
        <charset val="1"/>
      </rPr>
      <t>05_</t>
    </r>
    <r>
      <rPr>
        <i/>
        <sz val="9"/>
        <color rgb="FF8A8480"/>
        <rFont val="Noto Sans CJK SC"/>
        <family val="2"/>
      </rPr>
      <t>下游价值链</t>
    </r>
    <r>
      <rPr>
        <i/>
        <sz val="9"/>
        <color rgb="FF8A8480"/>
        <rFont val="Arial"/>
        <charset val="1"/>
      </rPr>
      <t>_</t>
    </r>
    <r>
      <rPr>
        <i/>
        <sz val="9"/>
        <color rgb="FF8A8480"/>
        <rFont val="Noto Sans CJK SC"/>
        <family val="2"/>
      </rPr>
      <t>利润池</t>
    </r>
    <r>
      <rPr>
        <i/>
        <sz val="9"/>
        <color rgb="FF8A8480"/>
        <rFont val="Arial"/>
        <charset val="1"/>
      </rPr>
      <t>_</t>
    </r>
    <r>
      <rPr>
        <i/>
        <sz val="9"/>
        <color rgb="FF8A8480"/>
        <rFont val="Noto Sans CJK SC"/>
        <family val="2"/>
      </rPr>
      <t>生态位</t>
    </r>
    <r>
      <rPr>
        <i/>
        <sz val="9"/>
        <color rgb="FF8A8480"/>
        <rFont val="Arial"/>
        <charset val="1"/>
      </rPr>
      <t>.html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</si>
</sst>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15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sz val="10"/>
      <name val="Arial"/>
      <charset val="1"/>
    </font>
    <font>
      <b/>
      <sz val="10"/>
      <name val="Noto Sans CJK SC"/>
      <family val="2"/>
      <charset val="1"/>
    </font>
    <font>
      <sz val="10"/>
      <name val="Noto Sans CJK SC"/>
      <family val="2"/>
      <charset val="1"/>
    </font>
    <font>
      <sz val="10"/>
      <color rgb="FF0000FF"/>
      <name val="Arial"/>
      <charset val="1"/>
    </font>
    <font>
      <sz val="10"/>
      <name val="Noto Sans CJK SC"/>
      <family val="2"/>
    </font>
    <font>
      <b/>
      <sz val="10"/>
      <name val="Arial"/>
      <charset val="1"/>
    </font>
    <font>
      <b/>
      <sz val="10"/>
      <name val="Noto Sans CJK SC"/>
      <family val="2"/>
    </font>
    <font>
      <b/>
      <sz val="10"/>
      <color rgb="FFFFFFFF"/>
      <name val="Noto Sans CJK SC"/>
      <family val="2"/>
      <charset val="1"/>
    </font>
    <font>
      <i/>
      <sz val="9"/>
      <color rgb="FF8A8480"/>
      <name val="Noto Sans CJK SC"/>
      <family val="2"/>
      <charset val="1"/>
    </font>
    <font>
      <b/>
      <sz val="10"/>
      <color rgb="FFFFFFFF"/>
      <name val="Noto Sans CJK SC"/>
      <family val="2"/>
    </font>
    <font>
      <b/>
      <sz val="10"/>
      <color rgb="FFFFFFFF"/>
      <name val="Arial"/>
      <charset val="1"/>
    </font>
    <font>
      <i/>
      <sz val="9"/>
      <color rgb="FF8A8480"/>
      <name val="Noto Sans CJK SC"/>
      <family val="2"/>
    </font>
    <font>
      <i/>
      <sz val="9"/>
      <color rgb="FF8A8480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3F3A36"/>
        <bgColor rgb="FF333300"/>
      </patternFill>
    </fill>
    <fill>
      <patternFill patternType="solid">
        <fgColor rgb="FFFBEAEA"/>
        <bgColor rgb="FFFBF0E5"/>
      </patternFill>
    </fill>
    <fill>
      <patternFill patternType="solid">
        <fgColor rgb="FFFBF0E5"/>
        <bgColor rgb="FFFBF4E0"/>
      </patternFill>
    </fill>
    <fill>
      <patternFill patternType="solid">
        <fgColor rgb="FFE8F3EC"/>
        <bgColor rgb="FFE6F2F5"/>
      </patternFill>
    </fill>
    <fill>
      <patternFill patternType="solid">
        <fgColor rgb="FFF5F5E4"/>
        <bgColor rgb="FFFBF4E0"/>
      </patternFill>
    </fill>
    <fill>
      <patternFill patternType="solid">
        <fgColor rgb="FFF4EDF8"/>
        <bgColor rgb="FFF2F0EE"/>
      </patternFill>
    </fill>
    <fill>
      <patternFill patternType="solid">
        <fgColor rgb="FFF2F0EE"/>
        <bgColor rgb="FFF4EDF8"/>
      </patternFill>
    </fill>
    <fill>
      <patternFill patternType="solid">
        <fgColor rgb="FFFBF4E0"/>
        <bgColor rgb="FFFBF0E5"/>
      </patternFill>
    </fill>
    <fill>
      <patternFill patternType="solid">
        <fgColor rgb="FFE6F2F5"/>
        <bgColor rgb="FFE8F3E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6D1C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2" fontId="5" fillId="0" borderId="0" xfId="0" applyNumberFormat="1" applyFont="1" applyAlignment="1">
      <alignment vertical="top" wrapText="1"/>
    </xf>
    <xf numFmtId="0" fontId="7" fillId="0" borderId="0" xfId="0" applyFont="1"/>
    <xf numFmtId="0" fontId="6" fillId="0" borderId="0" xfId="0" applyFont="1" applyAlignment="1">
      <alignment vertical="top" wrapText="1"/>
    </xf>
    <xf numFmtId="0" fontId="9" fillId="2" borderId="0" xfId="0" applyFont="1" applyFill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165" fontId="2" fillId="0" borderId="1" xfId="0" applyNumberFormat="1" applyFont="1" applyBorder="1" applyAlignment="1">
      <alignment vertical="top" wrapText="1"/>
    </xf>
    <xf numFmtId="0" fontId="11" fillId="2" borderId="0" xfId="0" applyFont="1" applyFill="1" applyAlignment="1">
      <alignment vertical="center" wrapText="1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vertical="top" wrapText="1"/>
    </xf>
    <xf numFmtId="0" fontId="6" fillId="9" borderId="1" xfId="0" applyFont="1" applyFill="1" applyBorder="1" applyAlignment="1">
      <alignment vertical="top" wrapText="1"/>
    </xf>
    <xf numFmtId="0" fontId="6" fillId="10" borderId="1" xfId="0" applyFont="1" applyFill="1" applyBorder="1" applyAlignment="1">
      <alignment vertical="top" wrapText="1"/>
    </xf>
    <xf numFmtId="0" fontId="13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D1CA"/>
      <rgbColor rgb="FF8A8480"/>
      <rgbColor rgb="FF9999FF"/>
      <rgbColor rgb="FF993366"/>
      <rgbColor rgb="FFFBF4E0"/>
      <rgbColor rgb="FFE6F2F5"/>
      <rgbColor rgb="FF660066"/>
      <rgbColor rgb="FFFF8080"/>
      <rgbColor rgb="FF0066CC"/>
      <rgbColor rgb="FFF4ED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EC"/>
      <rgbColor rgb="FFF5F5E4"/>
      <rgbColor rgb="FFFBF0E5"/>
      <rgbColor rgb="FFF2F0EE"/>
      <rgbColor rgb="FFFF99CC"/>
      <rgbColor rgb="FFCC99FF"/>
      <rgbColor rgb="FFFBEAE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F3A3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zoomScaleNormal="100" workbookViewId="0">
      <pane ySplit="2" topLeftCell="A8" activePane="bottomLeft" state="frozen"/>
      <selection pane="bottomLeft" activeCell="A3" sqref="A3"/>
    </sheetView>
  </sheetViews>
  <sheetFormatPr defaultColWidth="8.7109375" defaultRowHeight="15"/>
  <cols>
    <col min="1" max="1" width="16" customWidth="1"/>
    <col min="2" max="2" width="105" customWidth="1"/>
  </cols>
  <sheetData>
    <row r="1" spans="1:2" ht="81.75" customHeight="1">
      <c r="A1" s="1" t="s">
        <v>0</v>
      </c>
      <c r="B1" s="2"/>
    </row>
    <row r="2" spans="1:2" ht="15" customHeight="1">
      <c r="A2" s="3"/>
      <c r="B2" s="3"/>
    </row>
    <row r="3" spans="1:2" ht="15" customHeight="1">
      <c r="A3" s="4" t="s">
        <v>1</v>
      </c>
      <c r="B3" s="3" t="s">
        <v>2</v>
      </c>
    </row>
    <row r="4" spans="1:2" ht="15" customHeight="1">
      <c r="A4" s="4" t="s">
        <v>3</v>
      </c>
      <c r="B4" s="5" t="s">
        <v>4</v>
      </c>
    </row>
    <row r="5" spans="1:2" ht="26.25" customHeight="1">
      <c r="A5" s="4" t="s">
        <v>5</v>
      </c>
      <c r="B5" s="6">
        <v>7.1</v>
      </c>
    </row>
    <row r="6" spans="1:2" ht="15" customHeight="1">
      <c r="A6" s="3"/>
      <c r="B6" s="3"/>
    </row>
    <row r="7" spans="1:2" ht="15" customHeight="1">
      <c r="A7" s="4" t="s">
        <v>6</v>
      </c>
      <c r="B7" s="5" t="s">
        <v>7</v>
      </c>
    </row>
    <row r="8" spans="1:2" ht="15" customHeight="1">
      <c r="A8" s="3"/>
      <c r="B8" s="5" t="s">
        <v>8</v>
      </c>
    </row>
    <row r="9" spans="1:2" ht="15" customHeight="1">
      <c r="A9" s="3"/>
      <c r="B9" s="3"/>
    </row>
    <row r="10" spans="1:2" ht="15" customHeight="1">
      <c r="A10" s="4" t="s">
        <v>9</v>
      </c>
      <c r="B10" s="3"/>
    </row>
    <row r="11" spans="1:2" ht="15" customHeight="1">
      <c r="A11" s="5" t="s">
        <v>10</v>
      </c>
      <c r="B11" s="5" t="s">
        <v>11</v>
      </c>
    </row>
    <row r="12" spans="1:2" ht="15" customHeight="1">
      <c r="A12" s="5" t="s">
        <v>12</v>
      </c>
      <c r="B12" s="5" t="s">
        <v>13</v>
      </c>
    </row>
    <row r="13" spans="1:2" ht="15" customHeight="1">
      <c r="A13" s="5" t="s">
        <v>14</v>
      </c>
      <c r="B13" s="5" t="s">
        <v>15</v>
      </c>
    </row>
    <row r="14" spans="1:2" ht="15" customHeight="1">
      <c r="A14" s="5" t="s">
        <v>16</v>
      </c>
      <c r="B14" s="5" t="s">
        <v>17</v>
      </c>
    </row>
    <row r="15" spans="1:2" ht="15" customHeight="1">
      <c r="A15" s="3"/>
      <c r="B15" s="3"/>
    </row>
    <row r="16" spans="1:2" ht="15" customHeight="1">
      <c r="A16" s="4" t="s">
        <v>18</v>
      </c>
      <c r="B16" s="3"/>
    </row>
    <row r="17" spans="1:2" ht="15" customHeight="1">
      <c r="A17" s="5" t="s">
        <v>19</v>
      </c>
      <c r="B17" s="5" t="s">
        <v>20</v>
      </c>
    </row>
    <row r="18" spans="1:2" ht="15" customHeight="1">
      <c r="A18" s="5" t="s">
        <v>21</v>
      </c>
      <c r="B18" s="5" t="s">
        <v>22</v>
      </c>
    </row>
    <row r="19" spans="1:2" ht="15" customHeight="1">
      <c r="A19" s="5" t="s">
        <v>23</v>
      </c>
      <c r="B19" s="5" t="s">
        <v>24</v>
      </c>
    </row>
    <row r="20" spans="1:2" ht="15" customHeight="1">
      <c r="A20" s="3"/>
      <c r="B20" s="3"/>
    </row>
    <row r="21" spans="1:2" ht="15" customHeight="1">
      <c r="A21" s="4" t="s">
        <v>25</v>
      </c>
      <c r="B21" s="3"/>
    </row>
    <row r="22" spans="1:2" ht="15" customHeight="1">
      <c r="A22" s="3" t="s">
        <v>26</v>
      </c>
      <c r="B22" s="5" t="s">
        <v>27</v>
      </c>
    </row>
    <row r="23" spans="1:2" ht="15" customHeight="1">
      <c r="A23" s="3" t="s">
        <v>28</v>
      </c>
      <c r="B23" s="5" t="s">
        <v>29</v>
      </c>
    </row>
    <row r="24" spans="1:2" ht="15" customHeight="1">
      <c r="A24" s="3" t="s">
        <v>30</v>
      </c>
      <c r="B24" s="5" t="s">
        <v>31</v>
      </c>
    </row>
    <row r="25" spans="1:2" ht="15" customHeight="1">
      <c r="A25" s="3" t="s">
        <v>32</v>
      </c>
      <c r="B25" s="5" t="s">
        <v>33</v>
      </c>
    </row>
    <row r="26" spans="1:2" ht="15" customHeight="1">
      <c r="A26" s="3"/>
      <c r="B26" s="3"/>
    </row>
    <row r="27" spans="1:2" ht="15" customHeight="1">
      <c r="A27" s="4" t="s">
        <v>34</v>
      </c>
      <c r="B27" s="3" t="s">
        <v>35</v>
      </c>
    </row>
    <row r="28" spans="1:2" ht="15" customHeight="1">
      <c r="A28" s="3"/>
      <c r="B28" s="5" t="s">
        <v>36</v>
      </c>
    </row>
    <row r="30" spans="1:2">
      <c r="A30" s="7" t="s">
        <v>37</v>
      </c>
      <c r="B30" s="8" t="s">
        <v>38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"/>
  <sheetViews>
    <sheetView tabSelected="1" zoomScaleNormal="100" workbookViewId="0">
      <pane xSplit="1" ySplit="1" topLeftCell="B21" activePane="bottomRight" state="frozen"/>
      <selection pane="topRight" activeCell="D1" sqref="D1"/>
      <selection pane="bottomLeft" activeCell="A18" sqref="A18"/>
      <selection pane="bottomRight" activeCell="E27" sqref="E27"/>
    </sheetView>
  </sheetViews>
  <sheetFormatPr defaultColWidth="8.7109375" defaultRowHeight="15"/>
  <cols>
    <col min="1" max="1" width="26" customWidth="1"/>
    <col min="2" max="2" width="10" customWidth="1"/>
    <col min="3" max="3" width="20" customWidth="1"/>
    <col min="4" max="4" width="17" customWidth="1"/>
    <col min="5" max="5" width="12" customWidth="1"/>
    <col min="6" max="6" width="46" customWidth="1"/>
    <col min="7" max="7" width="17" customWidth="1"/>
    <col min="8" max="8" width="95" customWidth="1"/>
    <col min="9" max="9" width="42" customWidth="1"/>
  </cols>
  <sheetData>
    <row r="1" spans="1:9" ht="30" customHeight="1">
      <c r="A1" s="9" t="s">
        <v>39</v>
      </c>
      <c r="B1" s="9" t="s">
        <v>40</v>
      </c>
      <c r="C1" s="9" t="s">
        <v>41</v>
      </c>
      <c r="D1" s="9" t="s">
        <v>42</v>
      </c>
      <c r="E1" s="9" t="s">
        <v>43</v>
      </c>
      <c r="F1" s="9" t="s">
        <v>44</v>
      </c>
      <c r="G1" s="9" t="s">
        <v>45</v>
      </c>
      <c r="H1" s="9" t="s">
        <v>46</v>
      </c>
      <c r="I1" s="9" t="s">
        <v>47</v>
      </c>
    </row>
    <row r="2" spans="1:9" ht="29.25" customHeight="1">
      <c r="A2" s="10" t="s">
        <v>48</v>
      </c>
      <c r="B2" s="11" t="s">
        <v>16</v>
      </c>
      <c r="C2" s="10">
        <v>338</v>
      </c>
      <c r="D2" s="12">
        <f t="shared" ref="D2:D21" si="0">IF(C2="","",C2/$C$30)</f>
        <v>7.8042022627568694E-2</v>
      </c>
      <c r="E2" s="10">
        <v>4</v>
      </c>
      <c r="F2" s="10" t="s">
        <v>49</v>
      </c>
      <c r="G2" s="10">
        <v>92</v>
      </c>
      <c r="H2" s="10" t="s">
        <v>50</v>
      </c>
      <c r="I2" s="10" t="s">
        <v>51</v>
      </c>
    </row>
    <row r="3" spans="1:9" ht="29.25" customHeight="1">
      <c r="A3" s="10" t="s">
        <v>52</v>
      </c>
      <c r="B3" s="13" t="s">
        <v>14</v>
      </c>
      <c r="C3" s="10">
        <v>282</v>
      </c>
      <c r="D3" s="12">
        <f t="shared" si="0"/>
        <v>6.5111983375663818E-2</v>
      </c>
      <c r="E3" s="10">
        <v>9</v>
      </c>
      <c r="F3" s="14" t="s">
        <v>53</v>
      </c>
      <c r="G3" s="14">
        <v>70</v>
      </c>
      <c r="H3" s="10" t="s">
        <v>54</v>
      </c>
      <c r="I3" s="10" t="s">
        <v>55</v>
      </c>
    </row>
    <row r="4" spans="1:9" ht="29.25" customHeight="1">
      <c r="A4" s="10" t="s">
        <v>56</v>
      </c>
      <c r="B4" s="15" t="s">
        <v>10</v>
      </c>
      <c r="C4" s="14">
        <v>226</v>
      </c>
      <c r="D4" s="12">
        <f t="shared" si="0"/>
        <v>5.2181944123758948E-2</v>
      </c>
      <c r="E4" s="14">
        <v>45</v>
      </c>
      <c r="F4" s="10" t="s">
        <v>57</v>
      </c>
      <c r="G4" s="14">
        <v>35</v>
      </c>
      <c r="H4" s="10" t="s">
        <v>58</v>
      </c>
      <c r="I4" s="10" t="s">
        <v>59</v>
      </c>
    </row>
    <row r="5" spans="1:9" ht="29.25" customHeight="1">
      <c r="A5" s="10" t="s">
        <v>60</v>
      </c>
      <c r="B5" s="13" t="s">
        <v>14</v>
      </c>
      <c r="C5" s="14">
        <v>173</v>
      </c>
      <c r="D5" s="12">
        <f t="shared" si="0"/>
        <v>3.9944585546063262E-2</v>
      </c>
      <c r="E5" s="14">
        <v>12</v>
      </c>
      <c r="F5" s="10" t="s">
        <v>61</v>
      </c>
      <c r="G5" s="14">
        <v>72</v>
      </c>
      <c r="H5" s="14" t="s">
        <v>62</v>
      </c>
      <c r="I5" s="10" t="s">
        <v>63</v>
      </c>
    </row>
    <row r="6" spans="1:9" ht="15" customHeight="1">
      <c r="A6" s="10" t="s">
        <v>64</v>
      </c>
      <c r="B6" s="13" t="s">
        <v>14</v>
      </c>
      <c r="C6" s="14">
        <v>112</v>
      </c>
      <c r="D6" s="12">
        <f t="shared" si="0"/>
        <v>2.5860078503809742E-2</v>
      </c>
      <c r="E6" s="14">
        <v>20</v>
      </c>
      <c r="F6" s="10" t="s">
        <v>65</v>
      </c>
      <c r="G6" s="14">
        <v>60</v>
      </c>
      <c r="H6" s="14" t="s">
        <v>66</v>
      </c>
      <c r="I6" s="10" t="s">
        <v>67</v>
      </c>
    </row>
    <row r="7" spans="1:9" ht="29.25" customHeight="1">
      <c r="A7" s="10" t="s">
        <v>68</v>
      </c>
      <c r="B7" s="15" t="s">
        <v>10</v>
      </c>
      <c r="C7" s="14">
        <v>67</v>
      </c>
      <c r="D7" s="12">
        <f t="shared" si="0"/>
        <v>1.5469868390671901E-2</v>
      </c>
      <c r="E7" s="14">
        <v>55</v>
      </c>
      <c r="F7" s="14" t="s">
        <v>69</v>
      </c>
      <c r="G7" s="14">
        <v>25</v>
      </c>
      <c r="H7" s="10" t="s">
        <v>70</v>
      </c>
      <c r="I7" s="10" t="s">
        <v>71</v>
      </c>
    </row>
    <row r="8" spans="1:9" ht="29.25" customHeight="1">
      <c r="A8" s="14" t="s">
        <v>72</v>
      </c>
      <c r="B8" s="13" t="s">
        <v>14</v>
      </c>
      <c r="C8" s="14">
        <v>47</v>
      </c>
      <c r="D8" s="12">
        <f t="shared" si="0"/>
        <v>1.0851997229277302E-2</v>
      </c>
      <c r="E8" s="14">
        <v>18</v>
      </c>
      <c r="F8" s="10" t="s">
        <v>73</v>
      </c>
      <c r="G8" s="14">
        <v>62</v>
      </c>
      <c r="H8" s="10" t="s">
        <v>74</v>
      </c>
      <c r="I8" s="10" t="s">
        <v>75</v>
      </c>
    </row>
    <row r="9" spans="1:9" ht="29.25" customHeight="1">
      <c r="A9" s="10" t="s">
        <v>76</v>
      </c>
      <c r="B9" s="13" t="s">
        <v>14</v>
      </c>
      <c r="C9" s="14">
        <v>40</v>
      </c>
      <c r="D9" s="12">
        <f t="shared" si="0"/>
        <v>9.2357423227891946E-3</v>
      </c>
      <c r="E9" s="14">
        <v>12</v>
      </c>
      <c r="F9" s="10" t="s">
        <v>77</v>
      </c>
      <c r="G9" s="14">
        <v>75</v>
      </c>
      <c r="H9" s="10" t="s">
        <v>78</v>
      </c>
      <c r="I9" s="10" t="s">
        <v>79</v>
      </c>
    </row>
    <row r="10" spans="1:9" ht="29.25" customHeight="1">
      <c r="A10" s="10" t="s">
        <v>80</v>
      </c>
      <c r="B10" s="13" t="s">
        <v>14</v>
      </c>
      <c r="C10" s="14">
        <v>27</v>
      </c>
      <c r="D10" s="12">
        <f t="shared" si="0"/>
        <v>6.234126067882706E-3</v>
      </c>
      <c r="E10" s="14">
        <v>14</v>
      </c>
      <c r="F10" s="10" t="s">
        <v>81</v>
      </c>
      <c r="G10" s="14">
        <v>72</v>
      </c>
      <c r="H10" s="14" t="s">
        <v>82</v>
      </c>
      <c r="I10" s="10" t="s">
        <v>83</v>
      </c>
    </row>
    <row r="11" spans="1:9" ht="15" customHeight="1">
      <c r="A11" s="10" t="s">
        <v>84</v>
      </c>
      <c r="B11" s="16" t="s">
        <v>12</v>
      </c>
      <c r="C11" s="14">
        <v>35</v>
      </c>
      <c r="D11" s="12">
        <f t="shared" si="0"/>
        <v>8.0812745324405442E-3</v>
      </c>
      <c r="E11" s="14">
        <v>35</v>
      </c>
      <c r="F11" s="14" t="s">
        <v>85</v>
      </c>
      <c r="G11" s="14">
        <v>45</v>
      </c>
      <c r="H11" s="10" t="s">
        <v>86</v>
      </c>
      <c r="I11" s="10" t="s">
        <v>87</v>
      </c>
    </row>
    <row r="12" spans="1:9" ht="15" customHeight="1">
      <c r="A12" s="10" t="s">
        <v>88</v>
      </c>
      <c r="B12" s="15" t="s">
        <v>10</v>
      </c>
      <c r="C12" s="14">
        <v>18</v>
      </c>
      <c r="D12" s="12">
        <f t="shared" si="0"/>
        <v>4.1560840452551373E-3</v>
      </c>
      <c r="E12" s="14">
        <v>80</v>
      </c>
      <c r="F12" s="14" t="s">
        <v>89</v>
      </c>
      <c r="G12" s="14">
        <v>20</v>
      </c>
      <c r="H12" s="10" t="s">
        <v>90</v>
      </c>
      <c r="I12" s="10" t="s">
        <v>91</v>
      </c>
    </row>
    <row r="13" spans="1:9" ht="29.25" customHeight="1">
      <c r="A13" s="10" t="s">
        <v>92</v>
      </c>
      <c r="B13" s="13" t="s">
        <v>14</v>
      </c>
      <c r="C13" s="14">
        <v>140</v>
      </c>
      <c r="D13" s="12">
        <f t="shared" si="0"/>
        <v>3.2325098129762177E-2</v>
      </c>
      <c r="E13" s="14">
        <v>25</v>
      </c>
      <c r="F13" s="14" t="s">
        <v>93</v>
      </c>
      <c r="G13" s="14">
        <v>58</v>
      </c>
      <c r="H13" s="10" t="s">
        <v>94</v>
      </c>
      <c r="I13" s="10" t="s">
        <v>95</v>
      </c>
    </row>
    <row r="14" spans="1:9" ht="43.5" customHeight="1">
      <c r="A14" s="10" t="s">
        <v>96</v>
      </c>
      <c r="B14" s="11" t="s">
        <v>16</v>
      </c>
      <c r="C14" s="14">
        <v>25</v>
      </c>
      <c r="D14" s="12">
        <f t="shared" si="0"/>
        <v>5.772338951743246E-3</v>
      </c>
      <c r="E14" s="14">
        <v>9</v>
      </c>
      <c r="F14" s="10" t="s">
        <v>97</v>
      </c>
      <c r="G14" s="14">
        <v>85</v>
      </c>
      <c r="H14" s="10" t="s">
        <v>98</v>
      </c>
      <c r="I14" s="10" t="s">
        <v>99</v>
      </c>
    </row>
    <row r="15" spans="1:9" ht="29.25" customHeight="1">
      <c r="A15" s="10" t="s">
        <v>100</v>
      </c>
      <c r="B15" s="16" t="s">
        <v>12</v>
      </c>
      <c r="C15" s="14">
        <v>60</v>
      </c>
      <c r="D15" s="12">
        <f t="shared" si="0"/>
        <v>1.3853613484183791E-2</v>
      </c>
      <c r="E15" s="14">
        <v>30</v>
      </c>
      <c r="F15" s="10" t="s">
        <v>101</v>
      </c>
      <c r="G15" s="14">
        <v>50</v>
      </c>
      <c r="H15" s="10" t="s">
        <v>102</v>
      </c>
      <c r="I15" s="10" t="s">
        <v>103</v>
      </c>
    </row>
    <row r="16" spans="1:9" ht="29.25" customHeight="1">
      <c r="A16" s="14" t="s">
        <v>104</v>
      </c>
      <c r="B16" s="13" t="s">
        <v>14</v>
      </c>
      <c r="C16" s="14">
        <v>30</v>
      </c>
      <c r="D16" s="12">
        <f t="shared" si="0"/>
        <v>6.9268067420918955E-3</v>
      </c>
      <c r="E16" s="14">
        <v>25</v>
      </c>
      <c r="F16" s="14" t="s">
        <v>105</v>
      </c>
      <c r="G16" s="14">
        <v>58</v>
      </c>
      <c r="H16" s="10" t="s">
        <v>106</v>
      </c>
      <c r="I16" s="10" t="s">
        <v>107</v>
      </c>
    </row>
    <row r="17" spans="1:9" ht="29.25" customHeight="1">
      <c r="A17" s="10" t="s">
        <v>108</v>
      </c>
      <c r="B17" s="15" t="s">
        <v>10</v>
      </c>
      <c r="C17" s="14">
        <v>20</v>
      </c>
      <c r="D17" s="12">
        <f t="shared" si="0"/>
        <v>4.6178711613945973E-3</v>
      </c>
      <c r="E17" s="14">
        <v>60</v>
      </c>
      <c r="F17" s="10" t="s">
        <v>109</v>
      </c>
      <c r="G17" s="14">
        <v>22</v>
      </c>
      <c r="H17" s="10" t="s">
        <v>110</v>
      </c>
      <c r="I17" s="10" t="s">
        <v>111</v>
      </c>
    </row>
    <row r="18" spans="1:9" ht="15" customHeight="1">
      <c r="A18" s="10" t="s">
        <v>112</v>
      </c>
      <c r="B18" s="16" t="s">
        <v>12</v>
      </c>
      <c r="C18" s="14">
        <v>50</v>
      </c>
      <c r="D18" s="12">
        <f t="shared" si="0"/>
        <v>1.1544677903486492E-2</v>
      </c>
      <c r="E18" s="14">
        <v>40</v>
      </c>
      <c r="F18" s="10" t="s">
        <v>113</v>
      </c>
      <c r="G18" s="14">
        <v>42</v>
      </c>
      <c r="H18" s="10" t="s">
        <v>114</v>
      </c>
      <c r="I18" s="10" t="s">
        <v>115</v>
      </c>
    </row>
    <row r="19" spans="1:9" ht="15" customHeight="1">
      <c r="A19" s="10" t="s">
        <v>116</v>
      </c>
      <c r="B19" s="13" t="s">
        <v>14</v>
      </c>
      <c r="C19" s="14">
        <v>50</v>
      </c>
      <c r="D19" s="12">
        <f t="shared" si="0"/>
        <v>1.1544677903486492E-2</v>
      </c>
      <c r="E19" s="14">
        <v>15</v>
      </c>
      <c r="F19" s="10" t="s">
        <v>117</v>
      </c>
      <c r="G19" s="14">
        <v>70</v>
      </c>
      <c r="H19" s="14" t="s">
        <v>118</v>
      </c>
      <c r="I19" s="10" t="s">
        <v>119</v>
      </c>
    </row>
    <row r="20" spans="1:9" ht="15" customHeight="1">
      <c r="A20" s="10" t="s">
        <v>120</v>
      </c>
      <c r="B20" s="13" t="s">
        <v>14</v>
      </c>
      <c r="C20" s="14">
        <v>120</v>
      </c>
      <c r="D20" s="12">
        <f t="shared" si="0"/>
        <v>2.7707226968367582E-2</v>
      </c>
      <c r="E20" s="14">
        <v>30</v>
      </c>
      <c r="F20" s="10" t="s">
        <v>121</v>
      </c>
      <c r="G20" s="14">
        <v>55</v>
      </c>
      <c r="H20" s="14" t="s">
        <v>122</v>
      </c>
      <c r="I20" s="10" t="s">
        <v>123</v>
      </c>
    </row>
    <row r="21" spans="1:9" ht="43.5" customHeight="1">
      <c r="A21" s="14" t="s">
        <v>124</v>
      </c>
      <c r="B21" s="13" t="s">
        <v>14</v>
      </c>
      <c r="C21" s="14">
        <v>133</v>
      </c>
      <c r="D21" s="12">
        <f t="shared" si="0"/>
        <v>3.0708843223274069E-2</v>
      </c>
      <c r="E21" s="14">
        <v>20</v>
      </c>
      <c r="F21" s="10" t="s">
        <v>125</v>
      </c>
      <c r="G21" s="14">
        <v>78</v>
      </c>
      <c r="H21" s="10" t="s">
        <v>126</v>
      </c>
      <c r="I21" s="10" t="s">
        <v>127</v>
      </c>
    </row>
    <row r="22" spans="1:9" ht="43.5" customHeight="1">
      <c r="A22" s="14" t="s">
        <v>128</v>
      </c>
      <c r="B22" s="15" t="s">
        <v>10</v>
      </c>
      <c r="C22" s="10" t="s">
        <v>129</v>
      </c>
      <c r="D22" s="12"/>
      <c r="E22" s="14">
        <v>8</v>
      </c>
      <c r="F22" s="10" t="s">
        <v>130</v>
      </c>
      <c r="G22" s="14">
        <v>40</v>
      </c>
      <c r="H22" s="10" t="s">
        <v>131</v>
      </c>
      <c r="I22" s="10" t="s">
        <v>132</v>
      </c>
    </row>
    <row r="23" spans="1:9" ht="29.25" customHeight="1">
      <c r="A23" s="14" t="s">
        <v>133</v>
      </c>
      <c r="B23" s="15" t="s">
        <v>10</v>
      </c>
      <c r="C23" s="10" t="s">
        <v>129</v>
      </c>
      <c r="D23" s="12"/>
      <c r="E23" s="14">
        <v>13</v>
      </c>
      <c r="F23" s="10" t="s">
        <v>134</v>
      </c>
      <c r="G23" s="14">
        <v>38</v>
      </c>
      <c r="H23" s="10" t="s">
        <v>135</v>
      </c>
      <c r="I23" s="10" t="s">
        <v>136</v>
      </c>
    </row>
    <row r="24" spans="1:9" ht="43.5" customHeight="1">
      <c r="A24" s="10" t="s">
        <v>137</v>
      </c>
      <c r="B24" s="16" t="s">
        <v>12</v>
      </c>
      <c r="C24" s="14">
        <v>1600</v>
      </c>
      <c r="D24" s="12">
        <f>IF(C24="","",C24/$C$30)</f>
        <v>0.36942969291156774</v>
      </c>
      <c r="E24" s="14">
        <v>6</v>
      </c>
      <c r="F24" s="10" t="s">
        <v>138</v>
      </c>
      <c r="G24" s="14">
        <v>65</v>
      </c>
      <c r="H24" s="10" t="s">
        <v>139</v>
      </c>
      <c r="I24" s="10" t="s">
        <v>140</v>
      </c>
    </row>
    <row r="25" spans="1:9" ht="29.25" customHeight="1">
      <c r="A25" s="10" t="s">
        <v>141</v>
      </c>
      <c r="B25" s="15" t="s">
        <v>10</v>
      </c>
      <c r="C25" s="14">
        <v>470</v>
      </c>
      <c r="D25" s="12">
        <f>IF(C25="","",C25/$C$30)</f>
        <v>0.10851997229277303</v>
      </c>
      <c r="E25" s="14">
        <v>20</v>
      </c>
      <c r="F25" s="10" t="s">
        <v>142</v>
      </c>
      <c r="G25" s="14">
        <v>45</v>
      </c>
      <c r="H25" s="10" t="s">
        <v>143</v>
      </c>
      <c r="I25" s="10" t="s">
        <v>144</v>
      </c>
    </row>
    <row r="26" spans="1:9" ht="43.5" customHeight="1">
      <c r="A26" s="14" t="s">
        <v>145</v>
      </c>
      <c r="B26" s="16" t="s">
        <v>12</v>
      </c>
      <c r="C26" s="14" t="s">
        <v>146</v>
      </c>
      <c r="D26" s="12"/>
      <c r="E26" s="14">
        <v>52</v>
      </c>
      <c r="F26" s="10" t="s">
        <v>147</v>
      </c>
      <c r="G26" s="14">
        <v>55</v>
      </c>
      <c r="H26" s="10" t="s">
        <v>148</v>
      </c>
      <c r="I26" s="10" t="s">
        <v>149</v>
      </c>
    </row>
    <row r="27" spans="1:9" ht="43.5" customHeight="1">
      <c r="A27" s="10" t="s">
        <v>150</v>
      </c>
      <c r="B27" s="15" t="s">
        <v>10</v>
      </c>
      <c r="C27" s="14">
        <v>248</v>
      </c>
      <c r="D27" s="12">
        <f>IF(C27="","",C27/$C$30)</f>
        <v>5.7261602401293001E-2</v>
      </c>
      <c r="E27" s="14">
        <v>60</v>
      </c>
      <c r="F27" s="10" t="s">
        <v>151</v>
      </c>
      <c r="G27" s="14">
        <v>5</v>
      </c>
      <c r="H27" s="10" t="s">
        <v>152</v>
      </c>
      <c r="I27" s="10" t="s">
        <v>153</v>
      </c>
    </row>
    <row r="28" spans="1:9" ht="29.25" customHeight="1">
      <c r="A28" s="10" t="s">
        <v>154</v>
      </c>
      <c r="B28" s="15" t="s">
        <v>10</v>
      </c>
      <c r="C28" s="14">
        <v>20</v>
      </c>
      <c r="D28" s="12">
        <f>IF(C28="","",C28/$C$30)</f>
        <v>4.6178711613945973E-3</v>
      </c>
      <c r="E28" s="14">
        <v>40</v>
      </c>
      <c r="F28" s="10" t="s">
        <v>155</v>
      </c>
      <c r="G28" s="14">
        <v>20</v>
      </c>
      <c r="H28" s="10" t="s">
        <v>156</v>
      </c>
      <c r="I28" s="10" t="s">
        <v>157</v>
      </c>
    </row>
    <row r="29" spans="1:9" ht="29.25" customHeight="1">
      <c r="A29" s="10" t="s">
        <v>158</v>
      </c>
      <c r="B29" s="13" t="s">
        <v>14</v>
      </c>
      <c r="C29" s="14" t="s">
        <v>159</v>
      </c>
      <c r="D29" s="12"/>
      <c r="E29" s="14">
        <v>25</v>
      </c>
      <c r="F29" s="10" t="s">
        <v>160</v>
      </c>
      <c r="G29" s="14">
        <v>65</v>
      </c>
      <c r="H29" s="10" t="s">
        <v>161</v>
      </c>
      <c r="I29" s="10" t="s">
        <v>162</v>
      </c>
    </row>
    <row r="30" spans="1:9" ht="15" customHeight="1">
      <c r="A30" s="17" t="s">
        <v>163</v>
      </c>
      <c r="B30" s="14"/>
      <c r="C30" s="17">
        <f>SUM(C2:C29)</f>
        <v>4331</v>
      </c>
      <c r="D30" s="18" t="s">
        <v>164</v>
      </c>
      <c r="E30" s="14"/>
      <c r="F30" s="14"/>
      <c r="G30" s="14"/>
      <c r="H30" s="14"/>
      <c r="I30" s="14"/>
    </row>
  </sheetData>
  <autoFilter ref="A1:I30" xr:uid="{00000000-0001-0000-01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9" sqref="E9"/>
    </sheetView>
  </sheetViews>
  <sheetFormatPr defaultColWidth="8.7109375" defaultRowHeight="15"/>
  <cols>
    <col min="1" max="2" width="20" customWidth="1"/>
    <col min="3" max="3" width="16" customWidth="1"/>
    <col min="4" max="4" width="11" customWidth="1"/>
    <col min="5" max="5" width="12" customWidth="1"/>
    <col min="6" max="6" width="13" customWidth="1"/>
    <col min="7" max="7" width="20" customWidth="1"/>
    <col min="8" max="10" width="14" customWidth="1"/>
    <col min="11" max="11" width="105" customWidth="1"/>
  </cols>
  <sheetData>
    <row r="1" spans="1:11" ht="30" customHeight="1">
      <c r="A1" s="9" t="s">
        <v>165</v>
      </c>
      <c r="B1" s="9" t="s">
        <v>166</v>
      </c>
      <c r="C1" s="9" t="s">
        <v>39</v>
      </c>
      <c r="D1" s="9" t="s">
        <v>40</v>
      </c>
      <c r="E1" s="9" t="s">
        <v>18</v>
      </c>
      <c r="F1" s="9" t="s">
        <v>167</v>
      </c>
      <c r="G1" s="9" t="s">
        <v>168</v>
      </c>
      <c r="H1" s="9" t="s">
        <v>169</v>
      </c>
      <c r="I1" s="9" t="s">
        <v>170</v>
      </c>
      <c r="J1" s="9" t="s">
        <v>171</v>
      </c>
      <c r="K1" s="9" t="s">
        <v>172</v>
      </c>
    </row>
    <row r="2" spans="1:11" ht="29.25" customHeight="1">
      <c r="A2" s="10" t="s">
        <v>173</v>
      </c>
      <c r="B2" s="14" t="s">
        <v>174</v>
      </c>
      <c r="C2" s="14" t="s">
        <v>128</v>
      </c>
      <c r="D2" s="15" t="s">
        <v>10</v>
      </c>
      <c r="E2" s="10" t="s">
        <v>19</v>
      </c>
      <c r="F2" s="14">
        <v>1150</v>
      </c>
      <c r="G2" s="14" t="s">
        <v>175</v>
      </c>
      <c r="H2" s="19">
        <f>IFERROR(F2/说明与方法!$B$5,"")</f>
        <v>161.97183098591549</v>
      </c>
      <c r="I2" s="14">
        <v>7.85</v>
      </c>
      <c r="J2" s="10" t="s">
        <v>23</v>
      </c>
      <c r="K2" s="10" t="s">
        <v>176</v>
      </c>
    </row>
    <row r="3" spans="1:11" ht="29.25" customHeight="1">
      <c r="A3" s="10" t="s">
        <v>177</v>
      </c>
      <c r="B3" s="14" t="s">
        <v>178</v>
      </c>
      <c r="C3" s="10" t="s">
        <v>179</v>
      </c>
      <c r="D3" s="15" t="s">
        <v>10</v>
      </c>
      <c r="E3" s="10" t="s">
        <v>19</v>
      </c>
      <c r="F3" s="14">
        <v>382.4</v>
      </c>
      <c r="G3" s="14" t="s">
        <v>180</v>
      </c>
      <c r="H3" s="19">
        <f>IFERROR(F3/说明与方法!$B$5,"")</f>
        <v>53.859154929577464</v>
      </c>
      <c r="I3" s="14">
        <v>23.4</v>
      </c>
      <c r="J3" s="10" t="s">
        <v>23</v>
      </c>
      <c r="K3" s="10" t="s">
        <v>181</v>
      </c>
    </row>
    <row r="4" spans="1:11" ht="29.25" customHeight="1">
      <c r="A4" s="10" t="s">
        <v>182</v>
      </c>
      <c r="B4" s="10" t="s">
        <v>183</v>
      </c>
      <c r="C4" s="14" t="s">
        <v>184</v>
      </c>
      <c r="D4" s="15" t="s">
        <v>10</v>
      </c>
      <c r="E4" s="10" t="s">
        <v>19</v>
      </c>
      <c r="F4" s="10" t="s">
        <v>23</v>
      </c>
      <c r="G4" s="14" t="s">
        <v>159</v>
      </c>
      <c r="H4" s="19"/>
      <c r="I4" s="14">
        <v>13</v>
      </c>
      <c r="J4" s="10" t="s">
        <v>23</v>
      </c>
      <c r="K4" s="10" t="s">
        <v>185</v>
      </c>
    </row>
    <row r="5" spans="1:11" ht="29.25" customHeight="1">
      <c r="A5" s="10" t="s">
        <v>186</v>
      </c>
      <c r="B5" s="14" t="s">
        <v>187</v>
      </c>
      <c r="C5" s="10" t="s">
        <v>188</v>
      </c>
      <c r="D5" s="15" t="s">
        <v>10</v>
      </c>
      <c r="E5" s="10" t="s">
        <v>19</v>
      </c>
      <c r="F5" s="10" t="s">
        <v>23</v>
      </c>
      <c r="G5" s="14" t="s">
        <v>189</v>
      </c>
      <c r="H5" s="19"/>
      <c r="I5" s="14">
        <v>12.2</v>
      </c>
      <c r="J5" s="10" t="s">
        <v>23</v>
      </c>
      <c r="K5" s="10" t="s">
        <v>190</v>
      </c>
    </row>
    <row r="6" spans="1:11" ht="29.25" customHeight="1">
      <c r="A6" s="10" t="s">
        <v>87</v>
      </c>
      <c r="B6" s="14" t="s">
        <v>191</v>
      </c>
      <c r="C6" s="10" t="s">
        <v>192</v>
      </c>
      <c r="D6" s="15" t="s">
        <v>10</v>
      </c>
      <c r="E6" s="10" t="s">
        <v>19</v>
      </c>
      <c r="F6" s="14">
        <v>393.53</v>
      </c>
      <c r="G6" s="14" t="s">
        <v>193</v>
      </c>
      <c r="H6" s="19">
        <f>IFERROR(F6/说明与方法!$B$5,"")</f>
        <v>55.426760563380277</v>
      </c>
      <c r="I6" s="14">
        <v>3.8</v>
      </c>
      <c r="J6" s="10" t="s">
        <v>23</v>
      </c>
      <c r="K6" s="10" t="s">
        <v>194</v>
      </c>
    </row>
    <row r="7" spans="1:11" ht="29.25" customHeight="1">
      <c r="A7" s="10" t="s">
        <v>195</v>
      </c>
      <c r="B7" s="10" t="s">
        <v>183</v>
      </c>
      <c r="C7" s="14" t="s">
        <v>196</v>
      </c>
      <c r="D7" s="15" t="s">
        <v>10</v>
      </c>
      <c r="E7" s="10" t="s">
        <v>19</v>
      </c>
      <c r="F7" s="10" t="s">
        <v>23</v>
      </c>
      <c r="G7" s="10" t="s">
        <v>197</v>
      </c>
      <c r="H7" s="19"/>
      <c r="I7" s="10" t="s">
        <v>23</v>
      </c>
      <c r="J7" s="14">
        <v>37</v>
      </c>
      <c r="K7" s="10" t="s">
        <v>198</v>
      </c>
    </row>
    <row r="8" spans="1:11" ht="29.25" customHeight="1">
      <c r="A8" s="10" t="s">
        <v>199</v>
      </c>
      <c r="B8" s="14" t="s">
        <v>200</v>
      </c>
      <c r="C8" s="10" t="s">
        <v>68</v>
      </c>
      <c r="D8" s="15" t="s">
        <v>10</v>
      </c>
      <c r="E8" s="10" t="s">
        <v>19</v>
      </c>
      <c r="F8" s="14">
        <v>67.86</v>
      </c>
      <c r="G8" s="14" t="s">
        <v>180</v>
      </c>
      <c r="H8" s="19">
        <f>IFERROR(F8/说明与方法!$B$5,"")</f>
        <v>9.5577464788732396</v>
      </c>
      <c r="I8" s="14">
        <v>14.3</v>
      </c>
      <c r="J8" s="14">
        <v>55</v>
      </c>
      <c r="K8" s="10" t="s">
        <v>201</v>
      </c>
    </row>
    <row r="9" spans="1:11" ht="29.25" customHeight="1">
      <c r="A9" s="10" t="s">
        <v>202</v>
      </c>
      <c r="B9" s="14" t="s">
        <v>203</v>
      </c>
      <c r="C9" s="10" t="s">
        <v>204</v>
      </c>
      <c r="D9" s="15" t="s">
        <v>10</v>
      </c>
      <c r="E9" s="10" t="s">
        <v>19</v>
      </c>
      <c r="F9" s="14">
        <v>123.85</v>
      </c>
      <c r="G9" s="14" t="s">
        <v>205</v>
      </c>
      <c r="H9" s="19">
        <f>IFERROR(F9/说明与方法!$B$5,"")</f>
        <v>17.443661971830984</v>
      </c>
      <c r="I9" s="14">
        <v>7.7</v>
      </c>
      <c r="J9" s="10" t="s">
        <v>23</v>
      </c>
      <c r="K9" s="14" t="s">
        <v>206</v>
      </c>
    </row>
    <row r="10" spans="1:11" ht="29.25" customHeight="1">
      <c r="A10" s="10" t="s">
        <v>207</v>
      </c>
      <c r="B10" s="14" t="s">
        <v>208</v>
      </c>
      <c r="C10" s="10" t="s">
        <v>108</v>
      </c>
      <c r="D10" s="15" t="s">
        <v>10</v>
      </c>
      <c r="E10" s="10" t="s">
        <v>19</v>
      </c>
      <c r="F10" s="10" t="s">
        <v>23</v>
      </c>
      <c r="G10" s="14" t="s">
        <v>189</v>
      </c>
      <c r="H10" s="19"/>
      <c r="I10" s="10" t="s">
        <v>23</v>
      </c>
      <c r="J10" s="14">
        <v>38</v>
      </c>
      <c r="K10" s="10" t="s">
        <v>209</v>
      </c>
    </row>
    <row r="11" spans="1:11" ht="29.25" customHeight="1">
      <c r="A11" s="10" t="s">
        <v>157</v>
      </c>
      <c r="B11" s="14" t="s">
        <v>210</v>
      </c>
      <c r="C11" s="10" t="s">
        <v>211</v>
      </c>
      <c r="D11" s="15" t="s">
        <v>10</v>
      </c>
      <c r="E11" s="10" t="s">
        <v>21</v>
      </c>
      <c r="F11" s="10" t="s">
        <v>23</v>
      </c>
      <c r="G11" s="14" t="s">
        <v>189</v>
      </c>
      <c r="H11" s="19"/>
      <c r="I11" s="14">
        <v>40</v>
      </c>
      <c r="J11" s="10" t="s">
        <v>23</v>
      </c>
      <c r="K11" s="10" t="s">
        <v>212</v>
      </c>
    </row>
    <row r="12" spans="1:11" ht="29.25" customHeight="1">
      <c r="A12" s="10" t="s">
        <v>213</v>
      </c>
      <c r="B12" s="14" t="s">
        <v>214</v>
      </c>
      <c r="C12" s="10" t="s">
        <v>137</v>
      </c>
      <c r="D12" s="16" t="s">
        <v>12</v>
      </c>
      <c r="E12" s="10" t="s">
        <v>19</v>
      </c>
      <c r="F12" s="14">
        <v>673.23</v>
      </c>
      <c r="G12" s="14" t="s">
        <v>215</v>
      </c>
      <c r="H12" s="19">
        <f>IFERROR(F12/说明与方法!$B$5,"")</f>
        <v>94.821126760563388</v>
      </c>
      <c r="I12" s="14">
        <v>6</v>
      </c>
      <c r="J12" s="10" t="s">
        <v>23</v>
      </c>
      <c r="K12" s="10" t="s">
        <v>216</v>
      </c>
    </row>
    <row r="13" spans="1:11" ht="29.25" customHeight="1">
      <c r="A13" s="10" t="s">
        <v>217</v>
      </c>
      <c r="B13" s="14" t="s">
        <v>218</v>
      </c>
      <c r="C13" s="10" t="s">
        <v>137</v>
      </c>
      <c r="D13" s="16" t="s">
        <v>12</v>
      </c>
      <c r="E13" s="10" t="s">
        <v>23</v>
      </c>
      <c r="F13" s="10" t="s">
        <v>23</v>
      </c>
      <c r="G13" s="14" t="s">
        <v>189</v>
      </c>
      <c r="H13" s="19"/>
      <c r="I13" s="10" t="s">
        <v>23</v>
      </c>
      <c r="J13" s="10" t="s">
        <v>23</v>
      </c>
      <c r="K13" s="10" t="s">
        <v>219</v>
      </c>
    </row>
    <row r="14" spans="1:11" ht="29.25" customHeight="1">
      <c r="A14" s="10" t="s">
        <v>220</v>
      </c>
      <c r="B14" s="14" t="s">
        <v>221</v>
      </c>
      <c r="C14" s="10" t="s">
        <v>100</v>
      </c>
      <c r="D14" s="16" t="s">
        <v>12</v>
      </c>
      <c r="E14" s="10" t="s">
        <v>23</v>
      </c>
      <c r="F14" s="10" t="s">
        <v>23</v>
      </c>
      <c r="G14" s="14" t="s">
        <v>189</v>
      </c>
      <c r="H14" s="19"/>
      <c r="I14" s="10" t="s">
        <v>23</v>
      </c>
      <c r="J14" s="10" t="s">
        <v>23</v>
      </c>
      <c r="K14" s="10" t="s">
        <v>222</v>
      </c>
    </row>
    <row r="15" spans="1:11" ht="15" customHeight="1">
      <c r="A15" s="10" t="s">
        <v>223</v>
      </c>
      <c r="B15" s="14" t="s">
        <v>224</v>
      </c>
      <c r="C15" s="10" t="s">
        <v>112</v>
      </c>
      <c r="D15" s="16" t="s">
        <v>12</v>
      </c>
      <c r="E15" s="10" t="s">
        <v>23</v>
      </c>
      <c r="F15" s="10" t="s">
        <v>23</v>
      </c>
      <c r="G15" s="14" t="s">
        <v>189</v>
      </c>
      <c r="H15" s="19"/>
      <c r="I15" s="10" t="s">
        <v>23</v>
      </c>
      <c r="J15" s="10" t="s">
        <v>23</v>
      </c>
      <c r="K15" s="10" t="s">
        <v>225</v>
      </c>
    </row>
    <row r="16" spans="1:11" ht="29.25" customHeight="1">
      <c r="A16" s="10" t="s">
        <v>226</v>
      </c>
      <c r="B16" s="14" t="s">
        <v>227</v>
      </c>
      <c r="C16" s="14" t="s">
        <v>196</v>
      </c>
      <c r="D16" s="16" t="s">
        <v>12</v>
      </c>
      <c r="E16" s="10" t="s">
        <v>19</v>
      </c>
      <c r="F16" s="14">
        <v>64.97</v>
      </c>
      <c r="G16" s="14" t="s">
        <v>228</v>
      </c>
      <c r="H16" s="19">
        <f>IFERROR(F16/说明与方法!$B$5,"")</f>
        <v>9.1507042253521131</v>
      </c>
      <c r="I16" s="10" t="s">
        <v>23</v>
      </c>
      <c r="J16" s="14">
        <v>8</v>
      </c>
      <c r="K16" s="10" t="s">
        <v>229</v>
      </c>
    </row>
    <row r="17" spans="1:11" ht="29.25" customHeight="1">
      <c r="A17" s="10" t="s">
        <v>230</v>
      </c>
      <c r="B17" s="14" t="s">
        <v>231</v>
      </c>
      <c r="C17" s="10" t="s">
        <v>232</v>
      </c>
      <c r="D17" s="16" t="s">
        <v>12</v>
      </c>
      <c r="E17" s="10" t="s">
        <v>21</v>
      </c>
      <c r="F17" s="10" t="s">
        <v>23</v>
      </c>
      <c r="G17" s="14" t="s">
        <v>233</v>
      </c>
      <c r="H17" s="19"/>
      <c r="I17" s="10" t="s">
        <v>23</v>
      </c>
      <c r="J17" s="10" t="s">
        <v>23</v>
      </c>
      <c r="K17" s="14" t="s">
        <v>234</v>
      </c>
    </row>
    <row r="18" spans="1:11" ht="29.25" customHeight="1">
      <c r="A18" s="10" t="s">
        <v>235</v>
      </c>
      <c r="B18" s="14" t="s">
        <v>236</v>
      </c>
      <c r="C18" s="10" t="s">
        <v>237</v>
      </c>
      <c r="D18" s="13" t="s">
        <v>14</v>
      </c>
      <c r="E18" s="10" t="s">
        <v>23</v>
      </c>
      <c r="F18" s="10" t="s">
        <v>23</v>
      </c>
      <c r="G18" s="14" t="s">
        <v>189</v>
      </c>
      <c r="H18" s="19"/>
      <c r="I18" s="10" t="s">
        <v>23</v>
      </c>
      <c r="J18" s="10" t="s">
        <v>23</v>
      </c>
      <c r="K18" s="14" t="s">
        <v>238</v>
      </c>
    </row>
    <row r="19" spans="1:11" ht="29.25" customHeight="1">
      <c r="A19" s="10" t="s">
        <v>75</v>
      </c>
      <c r="B19" s="14" t="s">
        <v>239</v>
      </c>
      <c r="C19" s="14" t="s">
        <v>72</v>
      </c>
      <c r="D19" s="13" t="s">
        <v>14</v>
      </c>
      <c r="E19" s="10" t="s">
        <v>19</v>
      </c>
      <c r="F19" s="14">
        <v>31.94</v>
      </c>
      <c r="G19" s="14" t="s">
        <v>240</v>
      </c>
      <c r="H19" s="19">
        <f>IFERROR(F19/说明与方法!$B$5,"")</f>
        <v>4.4985915492957753</v>
      </c>
      <c r="I19" s="10" t="s">
        <v>23</v>
      </c>
      <c r="J19" s="14">
        <v>20</v>
      </c>
      <c r="K19" s="14" t="s">
        <v>241</v>
      </c>
    </row>
    <row r="20" spans="1:11" ht="29.25" customHeight="1">
      <c r="A20" s="10" t="s">
        <v>242</v>
      </c>
      <c r="B20" s="14" t="s">
        <v>243</v>
      </c>
      <c r="C20" s="10" t="s">
        <v>60</v>
      </c>
      <c r="D20" s="13" t="s">
        <v>14</v>
      </c>
      <c r="E20" s="10" t="s">
        <v>23</v>
      </c>
      <c r="F20" s="10" t="s">
        <v>23</v>
      </c>
      <c r="G20" s="14" t="s">
        <v>189</v>
      </c>
      <c r="H20" s="19"/>
      <c r="I20" s="10" t="s">
        <v>23</v>
      </c>
      <c r="J20" s="10" t="s">
        <v>23</v>
      </c>
      <c r="K20" s="14" t="s">
        <v>244</v>
      </c>
    </row>
    <row r="21" spans="1:11" ht="29.25" customHeight="1">
      <c r="A21" s="10" t="s">
        <v>79</v>
      </c>
      <c r="B21" s="14" t="s">
        <v>245</v>
      </c>
      <c r="C21" s="10" t="s">
        <v>76</v>
      </c>
      <c r="D21" s="13" t="s">
        <v>14</v>
      </c>
      <c r="E21" s="10" t="s">
        <v>21</v>
      </c>
      <c r="F21" s="10" t="s">
        <v>23</v>
      </c>
      <c r="G21" s="14" t="s">
        <v>189</v>
      </c>
      <c r="H21" s="19"/>
      <c r="I21" s="10" t="s">
        <v>23</v>
      </c>
      <c r="J21" s="14">
        <v>12</v>
      </c>
      <c r="K21" s="10" t="s">
        <v>246</v>
      </c>
    </row>
    <row r="22" spans="1:11" ht="29.25" customHeight="1">
      <c r="A22" s="10" t="s">
        <v>247</v>
      </c>
      <c r="B22" s="14" t="s">
        <v>248</v>
      </c>
      <c r="C22" s="10" t="s">
        <v>92</v>
      </c>
      <c r="D22" s="13" t="s">
        <v>14</v>
      </c>
      <c r="E22" s="10" t="s">
        <v>19</v>
      </c>
      <c r="F22" s="14">
        <v>24.39</v>
      </c>
      <c r="G22" s="14" t="s">
        <v>249</v>
      </c>
      <c r="H22" s="19">
        <f>IFERROR(F22/说明与方法!$B$5,"")</f>
        <v>3.4352112676056339</v>
      </c>
      <c r="I22" s="10" t="s">
        <v>23</v>
      </c>
      <c r="J22" s="10" t="s">
        <v>23</v>
      </c>
      <c r="K22" s="14" t="s">
        <v>250</v>
      </c>
    </row>
    <row r="23" spans="1:11" ht="29.25" customHeight="1">
      <c r="A23" s="10" t="s">
        <v>251</v>
      </c>
      <c r="B23" s="14" t="s">
        <v>252</v>
      </c>
      <c r="C23" s="10" t="s">
        <v>96</v>
      </c>
      <c r="D23" s="13" t="s">
        <v>14</v>
      </c>
      <c r="E23" s="10" t="s">
        <v>19</v>
      </c>
      <c r="F23" s="10" t="s">
        <v>23</v>
      </c>
      <c r="G23" s="14" t="s">
        <v>253</v>
      </c>
      <c r="H23" s="19"/>
      <c r="I23" s="10" t="s">
        <v>23</v>
      </c>
      <c r="J23" s="14">
        <v>2</v>
      </c>
      <c r="K23" s="14" t="s">
        <v>254</v>
      </c>
    </row>
    <row r="24" spans="1:11" ht="29.25" customHeight="1">
      <c r="A24" s="10" t="s">
        <v>255</v>
      </c>
      <c r="B24" s="14" t="s">
        <v>256</v>
      </c>
      <c r="C24" s="14" t="s">
        <v>257</v>
      </c>
      <c r="D24" s="13" t="s">
        <v>14</v>
      </c>
      <c r="E24" s="10" t="s">
        <v>23</v>
      </c>
      <c r="F24" s="10" t="s">
        <v>23</v>
      </c>
      <c r="G24" s="14" t="s">
        <v>189</v>
      </c>
      <c r="H24" s="19"/>
      <c r="I24" s="10" t="s">
        <v>23</v>
      </c>
      <c r="J24" s="10" t="s">
        <v>23</v>
      </c>
      <c r="K24" s="10" t="s">
        <v>258</v>
      </c>
    </row>
    <row r="25" spans="1:11" ht="15" customHeight="1">
      <c r="A25" s="10" t="s">
        <v>259</v>
      </c>
      <c r="B25" s="14" t="s">
        <v>260</v>
      </c>
      <c r="C25" s="14" t="s">
        <v>261</v>
      </c>
      <c r="D25" s="13" t="s">
        <v>14</v>
      </c>
      <c r="E25" s="10" t="s">
        <v>21</v>
      </c>
      <c r="F25" s="10" t="s">
        <v>23</v>
      </c>
      <c r="G25" s="14" t="s">
        <v>189</v>
      </c>
      <c r="H25" s="19"/>
      <c r="I25" s="10" t="s">
        <v>23</v>
      </c>
      <c r="J25" s="10" t="s">
        <v>23</v>
      </c>
      <c r="K25" s="10" t="s">
        <v>262</v>
      </c>
    </row>
    <row r="26" spans="1:11" ht="29.25" customHeight="1">
      <c r="A26" s="10" t="s">
        <v>263</v>
      </c>
      <c r="B26" s="14" t="s">
        <v>264</v>
      </c>
      <c r="C26" s="14" t="s">
        <v>124</v>
      </c>
      <c r="D26" s="13" t="s">
        <v>14</v>
      </c>
      <c r="E26" s="10" t="s">
        <v>21</v>
      </c>
      <c r="F26" s="10" t="s">
        <v>23</v>
      </c>
      <c r="G26" s="14" t="s">
        <v>189</v>
      </c>
      <c r="H26" s="19"/>
      <c r="I26" s="10" t="s">
        <v>23</v>
      </c>
      <c r="J26" s="14">
        <v>7</v>
      </c>
      <c r="K26" s="10" t="s">
        <v>265</v>
      </c>
    </row>
    <row r="27" spans="1:11" ht="15" customHeight="1">
      <c r="A27" s="10" t="s">
        <v>266</v>
      </c>
      <c r="B27" s="14" t="s">
        <v>267</v>
      </c>
      <c r="C27" s="14" t="s">
        <v>124</v>
      </c>
      <c r="D27" s="13" t="s">
        <v>14</v>
      </c>
      <c r="E27" s="10" t="s">
        <v>23</v>
      </c>
      <c r="F27" s="10" t="s">
        <v>23</v>
      </c>
      <c r="G27" s="14" t="s">
        <v>189</v>
      </c>
      <c r="H27" s="19"/>
      <c r="I27" s="10" t="s">
        <v>23</v>
      </c>
      <c r="J27" s="10" t="s">
        <v>23</v>
      </c>
      <c r="K27" s="10" t="s">
        <v>268</v>
      </c>
    </row>
    <row r="28" spans="1:11" ht="15" customHeight="1">
      <c r="A28" s="10" t="s">
        <v>269</v>
      </c>
      <c r="B28" s="14" t="s">
        <v>270</v>
      </c>
      <c r="C28" s="14" t="s">
        <v>124</v>
      </c>
      <c r="D28" s="13" t="s">
        <v>14</v>
      </c>
      <c r="E28" s="10" t="s">
        <v>23</v>
      </c>
      <c r="F28" s="10" t="s">
        <v>23</v>
      </c>
      <c r="G28" s="14" t="s">
        <v>189</v>
      </c>
      <c r="H28" s="19"/>
      <c r="I28" s="10" t="s">
        <v>23</v>
      </c>
      <c r="J28" s="10" t="s">
        <v>23</v>
      </c>
      <c r="K28" s="10" t="s">
        <v>271</v>
      </c>
    </row>
    <row r="29" spans="1:11" ht="15" customHeight="1">
      <c r="A29" s="10" t="s">
        <v>272</v>
      </c>
      <c r="B29" s="14" t="s">
        <v>273</v>
      </c>
      <c r="C29" s="10" t="s">
        <v>80</v>
      </c>
      <c r="D29" s="13" t="s">
        <v>14</v>
      </c>
      <c r="E29" s="10" t="s">
        <v>21</v>
      </c>
      <c r="F29" s="10" t="s">
        <v>23</v>
      </c>
      <c r="G29" s="14" t="s">
        <v>189</v>
      </c>
      <c r="H29" s="19"/>
      <c r="I29" s="10" t="s">
        <v>23</v>
      </c>
      <c r="J29" s="14">
        <v>14</v>
      </c>
      <c r="K29" s="10" t="s">
        <v>274</v>
      </c>
    </row>
    <row r="30" spans="1:11" ht="15" customHeight="1">
      <c r="A30" s="10" t="s">
        <v>275</v>
      </c>
      <c r="B30" s="14" t="s">
        <v>276</v>
      </c>
      <c r="C30" s="10" t="s">
        <v>60</v>
      </c>
      <c r="D30" s="13" t="s">
        <v>14</v>
      </c>
      <c r="E30" s="10" t="s">
        <v>23</v>
      </c>
      <c r="F30" s="10" t="s">
        <v>23</v>
      </c>
      <c r="G30" s="14" t="s">
        <v>189</v>
      </c>
      <c r="H30" s="19"/>
      <c r="I30" s="10" t="s">
        <v>23</v>
      </c>
      <c r="J30" s="10" t="s">
        <v>23</v>
      </c>
      <c r="K30" s="10" t="s">
        <v>277</v>
      </c>
    </row>
    <row r="31" spans="1:11" ht="15" customHeight="1">
      <c r="A31" s="10" t="s">
        <v>119</v>
      </c>
      <c r="B31" s="14" t="s">
        <v>278</v>
      </c>
      <c r="C31" s="10" t="s">
        <v>116</v>
      </c>
      <c r="D31" s="13" t="s">
        <v>14</v>
      </c>
      <c r="E31" s="10" t="s">
        <v>21</v>
      </c>
      <c r="F31" s="10" t="s">
        <v>23</v>
      </c>
      <c r="G31" s="14" t="s">
        <v>189</v>
      </c>
      <c r="H31" s="19"/>
      <c r="I31" s="10" t="s">
        <v>23</v>
      </c>
      <c r="J31" s="14">
        <v>15</v>
      </c>
      <c r="K31" s="10" t="s">
        <v>279</v>
      </c>
    </row>
    <row r="32" spans="1:11" ht="15" customHeight="1">
      <c r="A32" s="10" t="s">
        <v>280</v>
      </c>
      <c r="B32" s="14" t="s">
        <v>281</v>
      </c>
      <c r="C32" s="10" t="s">
        <v>120</v>
      </c>
      <c r="D32" s="13" t="s">
        <v>14</v>
      </c>
      <c r="E32" s="10" t="s">
        <v>23</v>
      </c>
      <c r="F32" s="10" t="s">
        <v>23</v>
      </c>
      <c r="G32" s="14" t="s">
        <v>189</v>
      </c>
      <c r="H32" s="19"/>
      <c r="I32" s="10" t="s">
        <v>23</v>
      </c>
      <c r="J32" s="10" t="s">
        <v>23</v>
      </c>
      <c r="K32" s="14" t="s">
        <v>282</v>
      </c>
    </row>
    <row r="33" spans="1:11" ht="15" customHeight="1">
      <c r="A33" s="10" t="s">
        <v>283</v>
      </c>
      <c r="B33" s="14" t="s">
        <v>284</v>
      </c>
      <c r="C33" s="10" t="s">
        <v>120</v>
      </c>
      <c r="D33" s="13" t="s">
        <v>14</v>
      </c>
      <c r="E33" s="10" t="s">
        <v>23</v>
      </c>
      <c r="F33" s="10" t="s">
        <v>23</v>
      </c>
      <c r="G33" s="14" t="s">
        <v>189</v>
      </c>
      <c r="H33" s="19"/>
      <c r="I33" s="10" t="s">
        <v>23</v>
      </c>
      <c r="J33" s="10" t="s">
        <v>23</v>
      </c>
      <c r="K33" s="14" t="s">
        <v>285</v>
      </c>
    </row>
    <row r="34" spans="1:11" ht="15" customHeight="1">
      <c r="A34" s="10" t="s">
        <v>286</v>
      </c>
      <c r="B34" s="14" t="s">
        <v>287</v>
      </c>
      <c r="C34" s="10" t="s">
        <v>288</v>
      </c>
      <c r="D34" s="13" t="s">
        <v>14</v>
      </c>
      <c r="E34" s="10" t="s">
        <v>23</v>
      </c>
      <c r="F34" s="10" t="s">
        <v>23</v>
      </c>
      <c r="G34" s="14" t="s">
        <v>189</v>
      </c>
      <c r="H34" s="19"/>
      <c r="I34" s="10" t="s">
        <v>23</v>
      </c>
      <c r="J34" s="10" t="s">
        <v>23</v>
      </c>
      <c r="K34" s="10" t="s">
        <v>289</v>
      </c>
    </row>
    <row r="35" spans="1:11" ht="15" customHeight="1">
      <c r="A35" s="10" t="s">
        <v>290</v>
      </c>
      <c r="B35" s="14" t="s">
        <v>291</v>
      </c>
      <c r="C35" s="10" t="s">
        <v>288</v>
      </c>
      <c r="D35" s="13" t="s">
        <v>14</v>
      </c>
      <c r="E35" s="10" t="s">
        <v>23</v>
      </c>
      <c r="F35" s="10" t="s">
        <v>23</v>
      </c>
      <c r="G35" s="14" t="s">
        <v>189</v>
      </c>
      <c r="H35" s="19"/>
      <c r="I35" s="10" t="s">
        <v>23</v>
      </c>
      <c r="J35" s="10" t="s">
        <v>23</v>
      </c>
      <c r="K35" s="10" t="s">
        <v>292</v>
      </c>
    </row>
    <row r="36" spans="1:11" ht="15" customHeight="1">
      <c r="A36" s="10" t="s">
        <v>293</v>
      </c>
      <c r="B36" s="14" t="s">
        <v>294</v>
      </c>
      <c r="C36" s="10" t="s">
        <v>188</v>
      </c>
      <c r="D36" s="13" t="s">
        <v>14</v>
      </c>
      <c r="E36" s="10" t="s">
        <v>23</v>
      </c>
      <c r="F36" s="10" t="s">
        <v>23</v>
      </c>
      <c r="G36" s="14" t="s">
        <v>189</v>
      </c>
      <c r="H36" s="19"/>
      <c r="I36" s="10" t="s">
        <v>23</v>
      </c>
      <c r="J36" s="10" t="s">
        <v>23</v>
      </c>
      <c r="K36" s="14" t="s">
        <v>295</v>
      </c>
    </row>
    <row r="37" spans="1:11" ht="29.25" customHeight="1">
      <c r="A37" s="10" t="s">
        <v>296</v>
      </c>
      <c r="B37" s="14" t="s">
        <v>297</v>
      </c>
      <c r="C37" s="10" t="s">
        <v>298</v>
      </c>
      <c r="D37" s="13" t="s">
        <v>14</v>
      </c>
      <c r="E37" s="10" t="s">
        <v>23</v>
      </c>
      <c r="F37" s="10" t="s">
        <v>23</v>
      </c>
      <c r="G37" s="14" t="s">
        <v>189</v>
      </c>
      <c r="H37" s="19"/>
      <c r="I37" s="10" t="s">
        <v>23</v>
      </c>
      <c r="J37" s="10" t="s">
        <v>23</v>
      </c>
      <c r="K37" s="14" t="s">
        <v>299</v>
      </c>
    </row>
    <row r="38" spans="1:11" ht="29.25" customHeight="1">
      <c r="A38" s="10" t="s">
        <v>300</v>
      </c>
      <c r="B38" s="14" t="s">
        <v>301</v>
      </c>
      <c r="C38" s="14" t="s">
        <v>196</v>
      </c>
      <c r="D38" s="13" t="s">
        <v>14</v>
      </c>
      <c r="E38" s="10" t="s">
        <v>19</v>
      </c>
      <c r="F38" s="14">
        <v>17.36</v>
      </c>
      <c r="G38" s="14" t="s">
        <v>302</v>
      </c>
      <c r="H38" s="19">
        <f>IFERROR(F38/说明与方法!$B$5,"")</f>
        <v>2.4450704225352111</v>
      </c>
      <c r="I38" s="10" t="s">
        <v>23</v>
      </c>
      <c r="J38" s="10" t="s">
        <v>23</v>
      </c>
      <c r="K38" s="14" t="s">
        <v>303</v>
      </c>
    </row>
    <row r="39" spans="1:11" ht="29.25" customHeight="1">
      <c r="A39" s="10" t="s">
        <v>304</v>
      </c>
      <c r="B39" s="14" t="s">
        <v>305</v>
      </c>
      <c r="C39" s="14" t="s">
        <v>196</v>
      </c>
      <c r="D39" s="13" t="s">
        <v>14</v>
      </c>
      <c r="E39" s="10" t="s">
        <v>23</v>
      </c>
      <c r="F39" s="10" t="s">
        <v>23</v>
      </c>
      <c r="G39" s="14" t="s">
        <v>189</v>
      </c>
      <c r="H39" s="19"/>
      <c r="I39" s="10" t="s">
        <v>23</v>
      </c>
      <c r="J39" s="10" t="s">
        <v>23</v>
      </c>
      <c r="K39" s="10" t="s">
        <v>306</v>
      </c>
    </row>
    <row r="40" spans="1:11" ht="29.25" customHeight="1">
      <c r="A40" s="10" t="s">
        <v>307</v>
      </c>
      <c r="B40" s="14" t="s">
        <v>308</v>
      </c>
      <c r="C40" s="14" t="s">
        <v>196</v>
      </c>
      <c r="D40" s="13" t="s">
        <v>14</v>
      </c>
      <c r="E40" s="10" t="s">
        <v>23</v>
      </c>
      <c r="F40" s="10" t="s">
        <v>23</v>
      </c>
      <c r="G40" s="14" t="s">
        <v>189</v>
      </c>
      <c r="H40" s="19"/>
      <c r="I40" s="10" t="s">
        <v>23</v>
      </c>
      <c r="J40" s="10" t="s">
        <v>23</v>
      </c>
      <c r="K40" s="10" t="s">
        <v>309</v>
      </c>
    </row>
    <row r="41" spans="1:11" ht="15" customHeight="1">
      <c r="A41" s="10" t="s">
        <v>310</v>
      </c>
      <c r="B41" s="14" t="s">
        <v>311</v>
      </c>
      <c r="C41" s="14" t="s">
        <v>312</v>
      </c>
      <c r="D41" s="13" t="s">
        <v>14</v>
      </c>
      <c r="E41" s="10" t="s">
        <v>23</v>
      </c>
      <c r="F41" s="10" t="s">
        <v>23</v>
      </c>
      <c r="G41" s="14" t="s">
        <v>189</v>
      </c>
      <c r="H41" s="19"/>
      <c r="I41" s="10" t="s">
        <v>23</v>
      </c>
      <c r="J41" s="10" t="s">
        <v>23</v>
      </c>
      <c r="K41" s="14" t="s">
        <v>313</v>
      </c>
    </row>
    <row r="42" spans="1:11" ht="15" customHeight="1">
      <c r="A42" s="10" t="s">
        <v>314</v>
      </c>
      <c r="B42" s="14" t="s">
        <v>315</v>
      </c>
      <c r="C42" s="10" t="s">
        <v>179</v>
      </c>
      <c r="D42" s="13" t="s">
        <v>14</v>
      </c>
      <c r="E42" s="10" t="s">
        <v>23</v>
      </c>
      <c r="F42" s="10" t="s">
        <v>23</v>
      </c>
      <c r="G42" s="14" t="s">
        <v>189</v>
      </c>
      <c r="H42" s="19"/>
      <c r="I42" s="10" t="s">
        <v>23</v>
      </c>
      <c r="J42" s="10" t="s">
        <v>23</v>
      </c>
      <c r="K42" s="10" t="s">
        <v>316</v>
      </c>
    </row>
    <row r="43" spans="1:11" ht="15" customHeight="1">
      <c r="A43" s="10" t="s">
        <v>317</v>
      </c>
      <c r="B43" s="14" t="s">
        <v>318</v>
      </c>
      <c r="C43" s="14" t="s">
        <v>319</v>
      </c>
      <c r="D43" s="13" t="s">
        <v>14</v>
      </c>
      <c r="E43" s="10" t="s">
        <v>23</v>
      </c>
      <c r="F43" s="10" t="s">
        <v>23</v>
      </c>
      <c r="G43" s="14" t="s">
        <v>189</v>
      </c>
      <c r="H43" s="19"/>
      <c r="I43" s="10" t="s">
        <v>23</v>
      </c>
      <c r="J43" s="10" t="s">
        <v>23</v>
      </c>
      <c r="K43" s="10" t="s">
        <v>320</v>
      </c>
    </row>
    <row r="44" spans="1:11" ht="15" customHeight="1">
      <c r="A44" s="10" t="s">
        <v>321</v>
      </c>
      <c r="B44" s="14" t="s">
        <v>322</v>
      </c>
      <c r="C44" s="10" t="s">
        <v>323</v>
      </c>
      <c r="D44" s="13" t="s">
        <v>14</v>
      </c>
      <c r="E44" s="10" t="s">
        <v>23</v>
      </c>
      <c r="F44" s="10" t="s">
        <v>23</v>
      </c>
      <c r="G44" s="14" t="s">
        <v>189</v>
      </c>
      <c r="H44" s="19"/>
      <c r="I44" s="10" t="s">
        <v>23</v>
      </c>
      <c r="J44" s="10" t="s">
        <v>23</v>
      </c>
      <c r="K44" s="10" t="s">
        <v>324</v>
      </c>
    </row>
    <row r="45" spans="1:11" ht="15" customHeight="1">
      <c r="A45" s="10" t="s">
        <v>325</v>
      </c>
      <c r="B45" s="14" t="s">
        <v>326</v>
      </c>
      <c r="C45" s="10" t="s">
        <v>327</v>
      </c>
      <c r="D45" s="13" t="s">
        <v>14</v>
      </c>
      <c r="E45" s="10" t="s">
        <v>23</v>
      </c>
      <c r="F45" s="10" t="s">
        <v>23</v>
      </c>
      <c r="G45" s="14" t="s">
        <v>189</v>
      </c>
      <c r="H45" s="19"/>
      <c r="I45" s="10" t="s">
        <v>23</v>
      </c>
      <c r="J45" s="10" t="s">
        <v>23</v>
      </c>
      <c r="K45" s="10" t="s">
        <v>328</v>
      </c>
    </row>
    <row r="46" spans="1:11" ht="15" customHeight="1">
      <c r="A46" s="10" t="s">
        <v>329</v>
      </c>
      <c r="B46" s="14" t="s">
        <v>330</v>
      </c>
      <c r="C46" s="10" t="s">
        <v>331</v>
      </c>
      <c r="D46" s="13" t="s">
        <v>14</v>
      </c>
      <c r="E46" s="10" t="s">
        <v>23</v>
      </c>
      <c r="F46" s="10" t="s">
        <v>23</v>
      </c>
      <c r="G46" s="14" t="s">
        <v>189</v>
      </c>
      <c r="H46" s="19"/>
      <c r="I46" s="10" t="s">
        <v>23</v>
      </c>
      <c r="J46" s="10" t="s">
        <v>23</v>
      </c>
      <c r="K46" s="14" t="s">
        <v>332</v>
      </c>
    </row>
    <row r="47" spans="1:11" ht="43.5" customHeight="1">
      <c r="A47" s="10" t="s">
        <v>333</v>
      </c>
      <c r="B47" s="10" t="s">
        <v>183</v>
      </c>
      <c r="C47" s="10" t="s">
        <v>48</v>
      </c>
      <c r="D47" s="11" t="s">
        <v>16</v>
      </c>
      <c r="E47" s="10" t="s">
        <v>19</v>
      </c>
      <c r="F47" s="10" t="s">
        <v>23</v>
      </c>
      <c r="G47" s="10" t="s">
        <v>197</v>
      </c>
      <c r="H47" s="19"/>
      <c r="I47" s="10" t="s">
        <v>23</v>
      </c>
      <c r="J47" s="14">
        <v>4</v>
      </c>
      <c r="K47" s="10" t="s">
        <v>334</v>
      </c>
    </row>
    <row r="48" spans="1:11" ht="15" customHeight="1">
      <c r="A48" s="10" t="s">
        <v>335</v>
      </c>
      <c r="B48" s="14" t="s">
        <v>336</v>
      </c>
      <c r="C48" s="10" t="s">
        <v>96</v>
      </c>
      <c r="D48" s="11" t="s">
        <v>16</v>
      </c>
      <c r="E48" s="10" t="s">
        <v>23</v>
      </c>
      <c r="F48" s="10" t="s">
        <v>23</v>
      </c>
      <c r="G48" s="14" t="s">
        <v>189</v>
      </c>
      <c r="H48" s="19"/>
      <c r="I48" s="10" t="s">
        <v>23</v>
      </c>
      <c r="J48" s="10" t="s">
        <v>23</v>
      </c>
      <c r="K48" s="10" t="s">
        <v>337</v>
      </c>
    </row>
    <row r="49" spans="1:11" ht="15" customHeight="1">
      <c r="A49" s="10" t="s">
        <v>338</v>
      </c>
      <c r="B49" s="14" t="s">
        <v>339</v>
      </c>
      <c r="C49" s="10" t="s">
        <v>96</v>
      </c>
      <c r="D49" s="11" t="s">
        <v>16</v>
      </c>
      <c r="E49" s="10" t="s">
        <v>23</v>
      </c>
      <c r="F49" s="10" t="s">
        <v>23</v>
      </c>
      <c r="G49" s="14" t="s">
        <v>189</v>
      </c>
      <c r="H49" s="19"/>
      <c r="I49" s="10" t="s">
        <v>23</v>
      </c>
      <c r="J49" s="10" t="s">
        <v>23</v>
      </c>
      <c r="K49" s="10" t="s">
        <v>340</v>
      </c>
    </row>
    <row r="50" spans="1:11" ht="15" customHeight="1">
      <c r="A50" s="10" t="s">
        <v>341</v>
      </c>
      <c r="B50" s="10" t="s">
        <v>183</v>
      </c>
      <c r="C50" s="14" t="s">
        <v>124</v>
      </c>
      <c r="D50" s="11" t="s">
        <v>16</v>
      </c>
      <c r="E50" s="10" t="s">
        <v>23</v>
      </c>
      <c r="F50" s="10" t="s">
        <v>23</v>
      </c>
      <c r="G50" s="10" t="s">
        <v>197</v>
      </c>
      <c r="H50" s="19"/>
      <c r="I50" s="10" t="s">
        <v>23</v>
      </c>
      <c r="J50" s="10" t="s">
        <v>23</v>
      </c>
      <c r="K50" s="10" t="s">
        <v>342</v>
      </c>
    </row>
  </sheetData>
  <autoFilter ref="A1:K5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4" sqref="B4"/>
    </sheetView>
  </sheetViews>
  <sheetFormatPr defaultColWidth="8.7109375" defaultRowHeight="15"/>
  <cols>
    <col min="1" max="1" width="9" customWidth="1"/>
    <col min="2" max="2" width="22" customWidth="1"/>
    <col min="3" max="3" width="16" customWidth="1"/>
    <col min="4" max="5" width="13" customWidth="1"/>
    <col min="6" max="6" width="11" customWidth="1"/>
    <col min="7" max="8" width="13" customWidth="1"/>
    <col min="9" max="9" width="40" customWidth="1"/>
    <col min="10" max="10" width="42" customWidth="1"/>
    <col min="11" max="11" width="90" customWidth="1"/>
  </cols>
  <sheetData>
    <row r="1" spans="1:11" ht="30" customHeight="1">
      <c r="A1" s="20" t="s">
        <v>343</v>
      </c>
      <c r="B1" s="20" t="s">
        <v>39</v>
      </c>
      <c r="C1" s="20" t="s">
        <v>344</v>
      </c>
      <c r="D1" s="20" t="s">
        <v>345</v>
      </c>
      <c r="E1" s="20" t="s">
        <v>346</v>
      </c>
      <c r="F1" s="20" t="s">
        <v>347</v>
      </c>
      <c r="G1" s="20" t="s">
        <v>348</v>
      </c>
      <c r="H1" s="20" t="s">
        <v>349</v>
      </c>
      <c r="I1" s="20" t="s">
        <v>350</v>
      </c>
      <c r="J1" s="20" t="s">
        <v>351</v>
      </c>
      <c r="K1" s="20" t="s">
        <v>352</v>
      </c>
    </row>
    <row r="2" spans="1:11" ht="38.25">
      <c r="A2" s="21" t="s">
        <v>353</v>
      </c>
      <c r="B2" s="14" t="s">
        <v>354</v>
      </c>
      <c r="C2" s="22" t="s">
        <v>355</v>
      </c>
      <c r="D2" s="14">
        <v>133</v>
      </c>
      <c r="E2" s="21" t="s">
        <v>356</v>
      </c>
      <c r="F2" s="14">
        <v>85</v>
      </c>
      <c r="G2" s="21" t="s">
        <v>357</v>
      </c>
      <c r="H2" s="14">
        <f t="shared" ref="H2:H25" si="0">IF(F2&lt;=0,"亏损",ROUND(D2*F2/100,0))</f>
        <v>113</v>
      </c>
      <c r="I2" s="14" t="s">
        <v>358</v>
      </c>
      <c r="J2" s="21" t="s">
        <v>359</v>
      </c>
      <c r="K2" s="14" t="s">
        <v>360</v>
      </c>
    </row>
    <row r="3" spans="1:11" ht="25.5">
      <c r="A3" s="21" t="s">
        <v>353</v>
      </c>
      <c r="B3" s="21" t="s">
        <v>192</v>
      </c>
      <c r="C3" s="22" t="s">
        <v>355</v>
      </c>
      <c r="D3" s="14">
        <v>1333</v>
      </c>
      <c r="E3" s="21" t="s">
        <v>356</v>
      </c>
      <c r="F3" s="14">
        <v>50</v>
      </c>
      <c r="G3" s="21" t="s">
        <v>357</v>
      </c>
      <c r="H3" s="14">
        <f t="shared" si="0"/>
        <v>667</v>
      </c>
      <c r="I3" s="14" t="s">
        <v>361</v>
      </c>
      <c r="J3" s="21" t="s">
        <v>362</v>
      </c>
      <c r="K3" s="14" t="s">
        <v>363</v>
      </c>
    </row>
    <row r="4" spans="1:11" ht="25.5">
      <c r="A4" s="21" t="s">
        <v>353</v>
      </c>
      <c r="B4" s="21" t="s">
        <v>364</v>
      </c>
      <c r="C4" s="23" t="s">
        <v>365</v>
      </c>
      <c r="D4" s="14">
        <v>732</v>
      </c>
      <c r="E4" s="21" t="s">
        <v>356</v>
      </c>
      <c r="F4" s="14">
        <v>38</v>
      </c>
      <c r="G4" s="21" t="s">
        <v>357</v>
      </c>
      <c r="H4" s="14">
        <f t="shared" si="0"/>
        <v>278</v>
      </c>
      <c r="I4" s="21" t="s">
        <v>366</v>
      </c>
      <c r="J4" s="21" t="s">
        <v>367</v>
      </c>
      <c r="K4" s="21" t="s">
        <v>368</v>
      </c>
    </row>
    <row r="5" spans="1:11" ht="25.5">
      <c r="A5" s="21" t="s">
        <v>353</v>
      </c>
      <c r="B5" s="21" t="s">
        <v>137</v>
      </c>
      <c r="C5" s="22" t="s">
        <v>355</v>
      </c>
      <c r="D5" s="14">
        <v>1600</v>
      </c>
      <c r="E5" s="21" t="s">
        <v>356</v>
      </c>
      <c r="F5" s="14">
        <v>64</v>
      </c>
      <c r="G5" s="21" t="s">
        <v>357</v>
      </c>
      <c r="H5" s="14">
        <f t="shared" si="0"/>
        <v>1024</v>
      </c>
      <c r="I5" s="14" t="s">
        <v>369</v>
      </c>
      <c r="J5" s="21" t="s">
        <v>370</v>
      </c>
      <c r="K5" s="21" t="s">
        <v>371</v>
      </c>
    </row>
    <row r="6" spans="1:11" ht="38.25">
      <c r="A6" s="21" t="s">
        <v>353</v>
      </c>
      <c r="B6" s="14" t="s">
        <v>372</v>
      </c>
      <c r="C6" s="24" t="s">
        <v>373</v>
      </c>
      <c r="D6" s="14">
        <v>3800</v>
      </c>
      <c r="E6" s="21" t="s">
        <v>356</v>
      </c>
      <c r="F6" s="14">
        <v>76</v>
      </c>
      <c r="G6" s="21" t="s">
        <v>374</v>
      </c>
      <c r="H6" s="14">
        <f t="shared" si="0"/>
        <v>2888</v>
      </c>
      <c r="I6" s="14" t="s">
        <v>375</v>
      </c>
      <c r="J6" s="21" t="s">
        <v>376</v>
      </c>
      <c r="K6" s="14" t="s">
        <v>377</v>
      </c>
    </row>
    <row r="7" spans="1:11" ht="25.5">
      <c r="A7" s="21" t="s">
        <v>353</v>
      </c>
      <c r="B7" s="14" t="s">
        <v>145</v>
      </c>
      <c r="C7" s="22" t="s">
        <v>355</v>
      </c>
      <c r="D7" s="14">
        <v>2000</v>
      </c>
      <c r="E7" s="21" t="s">
        <v>356</v>
      </c>
      <c r="F7" s="14">
        <v>75</v>
      </c>
      <c r="G7" s="21" t="s">
        <v>357</v>
      </c>
      <c r="H7" s="14">
        <f t="shared" si="0"/>
        <v>1500</v>
      </c>
      <c r="I7" s="14" t="s">
        <v>378</v>
      </c>
      <c r="J7" s="21" t="s">
        <v>379</v>
      </c>
      <c r="K7" s="21" t="s">
        <v>380</v>
      </c>
    </row>
    <row r="8" spans="1:11" ht="25.5">
      <c r="A8" s="21" t="s">
        <v>353</v>
      </c>
      <c r="B8" s="21" t="s">
        <v>381</v>
      </c>
      <c r="C8" s="22" t="s">
        <v>355</v>
      </c>
      <c r="D8" s="14">
        <v>500</v>
      </c>
      <c r="E8" s="21" t="s">
        <v>356</v>
      </c>
      <c r="F8" s="14">
        <v>70</v>
      </c>
      <c r="G8" s="21" t="s">
        <v>357</v>
      </c>
      <c r="H8" s="14">
        <f t="shared" si="0"/>
        <v>350</v>
      </c>
      <c r="I8" s="14" t="s">
        <v>382</v>
      </c>
      <c r="J8" s="21" t="s">
        <v>383</v>
      </c>
      <c r="K8" s="14" t="s">
        <v>384</v>
      </c>
    </row>
    <row r="9" spans="1:11" ht="25.5">
      <c r="A9" s="21" t="s">
        <v>353</v>
      </c>
      <c r="B9" s="21" t="s">
        <v>385</v>
      </c>
      <c r="C9" s="24" t="s">
        <v>373</v>
      </c>
      <c r="D9" s="14">
        <v>248</v>
      </c>
      <c r="E9" s="21" t="s">
        <v>356</v>
      </c>
      <c r="F9" s="14">
        <v>40</v>
      </c>
      <c r="G9" s="21" t="s">
        <v>357</v>
      </c>
      <c r="H9" s="14">
        <f t="shared" si="0"/>
        <v>99</v>
      </c>
      <c r="I9" s="14" t="s">
        <v>386</v>
      </c>
      <c r="J9" s="21" t="s">
        <v>387</v>
      </c>
      <c r="K9" s="21" t="s">
        <v>388</v>
      </c>
    </row>
    <row r="10" spans="1:11" ht="38.25">
      <c r="A10" s="21" t="s">
        <v>353</v>
      </c>
      <c r="B10" s="21" t="s">
        <v>389</v>
      </c>
      <c r="C10" s="25" t="s">
        <v>390</v>
      </c>
      <c r="D10" s="14">
        <v>200</v>
      </c>
      <c r="E10" s="21" t="s">
        <v>356</v>
      </c>
      <c r="F10" s="14">
        <v>25</v>
      </c>
      <c r="G10" s="21" t="s">
        <v>374</v>
      </c>
      <c r="H10" s="14">
        <f t="shared" si="0"/>
        <v>50</v>
      </c>
      <c r="I10" s="14" t="s">
        <v>391</v>
      </c>
      <c r="J10" s="21" t="s">
        <v>392</v>
      </c>
      <c r="K10" s="21" t="s">
        <v>393</v>
      </c>
    </row>
    <row r="11" spans="1:11" ht="25.5">
      <c r="A11" s="21" t="s">
        <v>353</v>
      </c>
      <c r="B11" s="21" t="s">
        <v>394</v>
      </c>
      <c r="C11" s="23" t="s">
        <v>365</v>
      </c>
      <c r="D11" s="14">
        <v>3000</v>
      </c>
      <c r="E11" s="21" t="s">
        <v>356</v>
      </c>
      <c r="F11" s="14">
        <v>12</v>
      </c>
      <c r="G11" s="21" t="s">
        <v>357</v>
      </c>
      <c r="H11" s="14">
        <f t="shared" si="0"/>
        <v>360</v>
      </c>
      <c r="I11" s="14" t="s">
        <v>395</v>
      </c>
      <c r="J11" s="21" t="s">
        <v>396</v>
      </c>
      <c r="K11" s="21" t="s">
        <v>397</v>
      </c>
    </row>
    <row r="12" spans="1:11" ht="51">
      <c r="A12" s="21" t="s">
        <v>353</v>
      </c>
      <c r="B12" s="21" t="s">
        <v>398</v>
      </c>
      <c r="C12" s="22" t="s">
        <v>355</v>
      </c>
      <c r="D12" s="14">
        <v>7600</v>
      </c>
      <c r="E12" s="21" t="s">
        <v>356</v>
      </c>
      <c r="F12" s="14">
        <v>32</v>
      </c>
      <c r="G12" s="21" t="s">
        <v>374</v>
      </c>
      <c r="H12" s="14">
        <f t="shared" si="0"/>
        <v>2432</v>
      </c>
      <c r="I12" s="14" t="s">
        <v>399</v>
      </c>
      <c r="J12" s="21" t="s">
        <v>400</v>
      </c>
      <c r="K12" s="21" t="s">
        <v>401</v>
      </c>
    </row>
    <row r="13" spans="1:11" ht="38.25">
      <c r="A13" s="21" t="s">
        <v>353</v>
      </c>
      <c r="B13" s="21" t="s">
        <v>402</v>
      </c>
      <c r="C13" s="25" t="s">
        <v>390</v>
      </c>
      <c r="D13" s="14">
        <v>600</v>
      </c>
      <c r="E13" s="21" t="s">
        <v>356</v>
      </c>
      <c r="F13" s="14">
        <v>-20</v>
      </c>
      <c r="G13" s="21" t="s">
        <v>374</v>
      </c>
      <c r="H13" s="14" t="str">
        <f t="shared" si="0"/>
        <v>亏损</v>
      </c>
      <c r="I13" s="14" t="s">
        <v>403</v>
      </c>
      <c r="J13" s="14" t="s">
        <v>404</v>
      </c>
      <c r="K13" s="14" t="s">
        <v>405</v>
      </c>
    </row>
    <row r="14" spans="1:11" ht="25.5">
      <c r="A14" s="21" t="s">
        <v>406</v>
      </c>
      <c r="B14" s="14" t="s">
        <v>407</v>
      </c>
      <c r="C14" s="23" t="s">
        <v>365</v>
      </c>
      <c r="D14" s="14">
        <v>185</v>
      </c>
      <c r="E14" s="21" t="s">
        <v>408</v>
      </c>
      <c r="F14" s="14">
        <v>60</v>
      </c>
      <c r="G14" s="21" t="s">
        <v>357</v>
      </c>
      <c r="H14" s="14">
        <f t="shared" si="0"/>
        <v>111</v>
      </c>
      <c r="I14" s="14" t="s">
        <v>409</v>
      </c>
      <c r="J14" s="21" t="s">
        <v>410</v>
      </c>
      <c r="K14" s="21" t="s">
        <v>411</v>
      </c>
    </row>
    <row r="15" spans="1:11" ht="38.25">
      <c r="A15" s="21" t="s">
        <v>406</v>
      </c>
      <c r="B15" s="21" t="s">
        <v>192</v>
      </c>
      <c r="C15" s="24" t="s">
        <v>373</v>
      </c>
      <c r="D15" s="14">
        <v>2800</v>
      </c>
      <c r="E15" s="21" t="s">
        <v>408</v>
      </c>
      <c r="F15" s="14">
        <v>40</v>
      </c>
      <c r="G15" s="21" t="s">
        <v>357</v>
      </c>
      <c r="H15" s="14">
        <f t="shared" si="0"/>
        <v>1120</v>
      </c>
      <c r="I15" s="14" t="s">
        <v>412</v>
      </c>
      <c r="J15" s="21" t="s">
        <v>413</v>
      </c>
      <c r="K15" s="21" t="s">
        <v>414</v>
      </c>
    </row>
    <row r="16" spans="1:11" ht="38.25">
      <c r="A16" s="21" t="s">
        <v>406</v>
      </c>
      <c r="B16" s="21" t="s">
        <v>364</v>
      </c>
      <c r="C16" s="23" t="s">
        <v>365</v>
      </c>
      <c r="D16" s="14">
        <v>1100</v>
      </c>
      <c r="E16" s="21" t="s">
        <v>408</v>
      </c>
      <c r="F16" s="14">
        <v>30</v>
      </c>
      <c r="G16" s="21" t="s">
        <v>357</v>
      </c>
      <c r="H16" s="14">
        <f t="shared" si="0"/>
        <v>330</v>
      </c>
      <c r="I16" s="21" t="s">
        <v>415</v>
      </c>
      <c r="J16" s="21" t="s">
        <v>416</v>
      </c>
      <c r="K16" s="21" t="s">
        <v>417</v>
      </c>
    </row>
    <row r="17" spans="1:11" ht="25.5">
      <c r="A17" s="21" t="s">
        <v>406</v>
      </c>
      <c r="B17" s="21" t="s">
        <v>137</v>
      </c>
      <c r="C17" s="23" t="s">
        <v>365</v>
      </c>
      <c r="D17" s="14">
        <v>900</v>
      </c>
      <c r="E17" s="21" t="s">
        <v>408</v>
      </c>
      <c r="F17" s="14">
        <v>20</v>
      </c>
      <c r="G17" s="21" t="s">
        <v>357</v>
      </c>
      <c r="H17" s="14">
        <f t="shared" si="0"/>
        <v>180</v>
      </c>
      <c r="I17" s="14" t="s">
        <v>418</v>
      </c>
      <c r="J17" s="21" t="s">
        <v>419</v>
      </c>
      <c r="K17" s="21" t="s">
        <v>420</v>
      </c>
    </row>
    <row r="18" spans="1:11" ht="38.25">
      <c r="A18" s="21" t="s">
        <v>406</v>
      </c>
      <c r="B18" s="21" t="s">
        <v>421</v>
      </c>
      <c r="C18" s="24" t="s">
        <v>373</v>
      </c>
      <c r="D18" s="14">
        <v>2500</v>
      </c>
      <c r="E18" s="21" t="s">
        <v>408</v>
      </c>
      <c r="F18" s="14">
        <v>60</v>
      </c>
      <c r="G18" s="21" t="s">
        <v>374</v>
      </c>
      <c r="H18" s="14">
        <f t="shared" si="0"/>
        <v>1500</v>
      </c>
      <c r="I18" s="21" t="s">
        <v>422</v>
      </c>
      <c r="J18" s="21" t="s">
        <v>423</v>
      </c>
      <c r="K18" s="21" t="s">
        <v>424</v>
      </c>
    </row>
    <row r="19" spans="1:11" ht="38.25">
      <c r="A19" s="21" t="s">
        <v>406</v>
      </c>
      <c r="B19" s="14" t="s">
        <v>145</v>
      </c>
      <c r="C19" s="24" t="s">
        <v>373</v>
      </c>
      <c r="D19" s="14">
        <v>1500</v>
      </c>
      <c r="E19" s="21" t="s">
        <v>408</v>
      </c>
      <c r="F19" s="14">
        <v>45</v>
      </c>
      <c r="G19" s="21" t="s">
        <v>357</v>
      </c>
      <c r="H19" s="14">
        <f t="shared" si="0"/>
        <v>675</v>
      </c>
      <c r="I19" s="14" t="s">
        <v>425</v>
      </c>
      <c r="J19" s="21" t="s">
        <v>426</v>
      </c>
      <c r="K19" s="21" t="s">
        <v>427</v>
      </c>
    </row>
    <row r="20" spans="1:11" ht="38.25">
      <c r="A20" s="21" t="s">
        <v>406</v>
      </c>
      <c r="B20" s="21" t="s">
        <v>179</v>
      </c>
      <c r="C20" s="22" t="s">
        <v>355</v>
      </c>
      <c r="D20" s="14">
        <v>1800</v>
      </c>
      <c r="E20" s="21" t="s">
        <v>408</v>
      </c>
      <c r="F20" s="14">
        <v>35</v>
      </c>
      <c r="G20" s="21" t="s">
        <v>357</v>
      </c>
      <c r="H20" s="14">
        <f t="shared" si="0"/>
        <v>630</v>
      </c>
      <c r="I20" s="14" t="s">
        <v>428</v>
      </c>
      <c r="J20" s="21" t="s">
        <v>429</v>
      </c>
      <c r="K20" s="21" t="s">
        <v>430</v>
      </c>
    </row>
    <row r="21" spans="1:11" ht="25.5">
      <c r="A21" s="21" t="s">
        <v>406</v>
      </c>
      <c r="B21" s="21" t="s">
        <v>431</v>
      </c>
      <c r="C21" s="24" t="s">
        <v>373</v>
      </c>
      <c r="D21" s="14">
        <v>400</v>
      </c>
      <c r="E21" s="21" t="s">
        <v>408</v>
      </c>
      <c r="F21" s="14">
        <v>40</v>
      </c>
      <c r="G21" s="21" t="s">
        <v>357</v>
      </c>
      <c r="H21" s="14">
        <f t="shared" si="0"/>
        <v>160</v>
      </c>
      <c r="I21" s="21" t="s">
        <v>432</v>
      </c>
      <c r="J21" s="21" t="s">
        <v>433</v>
      </c>
      <c r="K21" s="21" t="s">
        <v>434</v>
      </c>
    </row>
    <row r="22" spans="1:11" ht="38.25">
      <c r="A22" s="21" t="s">
        <v>406</v>
      </c>
      <c r="B22" s="21" t="s">
        <v>435</v>
      </c>
      <c r="C22" s="24" t="s">
        <v>373</v>
      </c>
      <c r="D22" s="14">
        <v>80</v>
      </c>
      <c r="E22" s="21" t="s">
        <v>408</v>
      </c>
      <c r="F22" s="14">
        <v>20</v>
      </c>
      <c r="G22" s="21" t="s">
        <v>357</v>
      </c>
      <c r="H22" s="14">
        <f t="shared" si="0"/>
        <v>16</v>
      </c>
      <c r="I22" s="14" t="s">
        <v>436</v>
      </c>
      <c r="J22" s="21" t="s">
        <v>437</v>
      </c>
      <c r="K22" s="21" t="s">
        <v>438</v>
      </c>
    </row>
    <row r="23" spans="1:11" ht="25.5">
      <c r="A23" s="21" t="s">
        <v>406</v>
      </c>
      <c r="B23" s="21" t="s">
        <v>394</v>
      </c>
      <c r="C23" s="23" t="s">
        <v>365</v>
      </c>
      <c r="D23" s="14">
        <v>2200</v>
      </c>
      <c r="E23" s="21" t="s">
        <v>408</v>
      </c>
      <c r="F23" s="14">
        <v>8</v>
      </c>
      <c r="G23" s="21" t="s">
        <v>357</v>
      </c>
      <c r="H23" s="14">
        <f t="shared" si="0"/>
        <v>176</v>
      </c>
      <c r="I23" s="14" t="s">
        <v>439</v>
      </c>
      <c r="J23" s="21" t="s">
        <v>440</v>
      </c>
      <c r="K23" s="21" t="s">
        <v>441</v>
      </c>
    </row>
    <row r="24" spans="1:11" ht="38.25">
      <c r="A24" s="21" t="s">
        <v>406</v>
      </c>
      <c r="B24" s="21" t="s">
        <v>442</v>
      </c>
      <c r="C24" s="25" t="s">
        <v>390</v>
      </c>
      <c r="D24" s="14">
        <v>3000</v>
      </c>
      <c r="E24" s="21" t="s">
        <v>408</v>
      </c>
      <c r="F24" s="14">
        <v>15</v>
      </c>
      <c r="G24" s="21" t="s">
        <v>374</v>
      </c>
      <c r="H24" s="14">
        <f t="shared" si="0"/>
        <v>450</v>
      </c>
      <c r="I24" s="14" t="s">
        <v>443</v>
      </c>
      <c r="J24" s="21" t="s">
        <v>444</v>
      </c>
      <c r="K24" s="14" t="s">
        <v>445</v>
      </c>
    </row>
    <row r="25" spans="1:11" ht="38.25">
      <c r="A25" s="21" t="s">
        <v>406</v>
      </c>
      <c r="B25" s="21" t="s">
        <v>446</v>
      </c>
      <c r="C25" s="25" t="s">
        <v>390</v>
      </c>
      <c r="D25" s="14">
        <v>500</v>
      </c>
      <c r="E25" s="21" t="s">
        <v>408</v>
      </c>
      <c r="F25" s="14">
        <v>-15</v>
      </c>
      <c r="G25" s="21" t="s">
        <v>374</v>
      </c>
      <c r="H25" s="14" t="str">
        <f t="shared" si="0"/>
        <v>亏损</v>
      </c>
      <c r="I25" s="14" t="s">
        <v>447</v>
      </c>
      <c r="J25" s="14" t="s">
        <v>448</v>
      </c>
      <c r="K25" s="21" t="s">
        <v>449</v>
      </c>
    </row>
    <row r="27" spans="1:11">
      <c r="A27" s="26" t="s">
        <v>450</v>
      </c>
    </row>
    <row r="28" spans="1:11">
      <c r="A28" s="26" t="s">
        <v>451</v>
      </c>
    </row>
    <row r="29" spans="1:11">
      <c r="A29" s="26" t="s">
        <v>452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说明与方法</vt:lpstr>
      <vt:lpstr>环节量化</vt:lpstr>
      <vt:lpstr>公司量化</vt:lpstr>
      <vt:lpstr>下游价值链与利润池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Jijun Yu</cp:lastModifiedBy>
  <cp:revision>0</cp:revision>
  <dcterms:created xsi:type="dcterms:W3CDTF">2026-08-10T09:05:51Z</dcterms:created>
  <dcterms:modified xsi:type="dcterms:W3CDTF">2026-08-12T01:21:37Z</dcterms:modified>
  <dc:language>en-US</dc:language>
</cp:coreProperties>
</file>